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  <row r="48">
      <c r="A48" t="inlineStr">
        <is>
          <t>Interior finishes emissions (gypsum, wood, steel studs — mixed)</t>
        </is>
      </c>
      <c r="B48" s="2" t="n">
        <v>1</v>
      </c>
      <c r="C48" s="2" t="n">
        <v>1</v>
      </c>
      <c r="D48" t="inlineStr">
        <is>
          <t>kg CO₂e/kg</t>
        </is>
      </c>
      <c r="E48" t="inlineStr">
        <is>
          <t>estimated [L]</t>
        </is>
      </c>
      <c r="F48" t="inlineStr">
        <is>
          <t>Used only for the interior finishes row</t>
        </is>
      </c>
    </row>
    <row r="49">
      <c r="A49" t="inlineStr">
        <is>
          <t>Steel share of electrical equipment mass (gensets, transformers, switchgear, UPS cabinets)</t>
        </is>
      </c>
      <c r="B49" s="2" t="n">
        <v>0.6</v>
      </c>
      <c r="C49" s="2" t="n">
        <v>0.6</v>
      </c>
      <c r="D49" t="inlineStr">
        <is>
          <t>share</t>
        </is>
      </c>
      <c r="E49" t="inlineStr">
        <is>
          <t>estimated [L]; Alex asked for the estimate 2026-09-05</t>
        </is>
      </c>
      <c r="F49" t="inlineStr">
        <is>
          <t>Cast iron and steel in engines, transformer cores and tanks, switchgear and UPS enclosures; copper, aluminum, oil and cells excluded</t>
        </is>
      </c>
    </row>
    <row r="50">
      <c r="A50" t="inlineStr">
        <is>
          <t>Steel share of mechanical equipment mass (chillers, fan walls, coolers, piping)</t>
        </is>
      </c>
      <c r="B50" s="2" t="n">
        <v>0.5</v>
      </c>
      <c r="C50" s="2" t="n">
        <v>0.5</v>
      </c>
      <c r="D50" t="inlineStr">
        <is>
          <t>share</t>
        </is>
      </c>
      <c r="E50" t="inlineStr">
        <is>
          <t>estimated [L]</t>
        </is>
      </c>
      <c r="F50" t="inlineStr">
        <is>
          <t>Shells, frames, casings and steel piping; copper tubes, aluminum coils and loop water excluded</t>
        </is>
      </c>
    </row>
    <row r="51">
      <c r="A51" t="inlineStr">
        <is>
          <t>Steel share of IT mass (rack frames, server chassis)</t>
        </is>
      </c>
      <c r="B51" s="2" t="n">
        <v>0.4</v>
      </c>
      <c r="C51" s="2" t="n">
        <v>0.4</v>
      </c>
      <c r="D51" t="inlineStr">
        <is>
          <t>share</t>
        </is>
      </c>
      <c r="E51" t="inlineStr">
        <is>
          <t>estimated [L]</t>
        </is>
      </c>
      <c r="F51" t="inlineStr">
        <is>
          <t>Same 40% enclosure share used for the long-term replacement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Inputs!$B$35</f>
        <v/>
      </c>
      <c r="Y3" s="5">
        <f>B3*X3</f>
        <v/>
      </c>
      <c r="Z3" s="5">
        <f>C3*X3</f>
        <v/>
      </c>
      <c r="AA3" s="7">
        <f>Inputs!$B$35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Inputs!$B$35</f>
        <v/>
      </c>
      <c r="Y4" s="5">
        <f>B4*X4</f>
        <v/>
      </c>
      <c r="Z4" s="5">
        <f>C4*X4</f>
        <v/>
      </c>
      <c r="AA4" s="7">
        <f>Inputs!$B$35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Inputs!$B$35</f>
        <v/>
      </c>
      <c r="Y5" s="5">
        <f>B5*X5</f>
        <v/>
      </c>
      <c r="Z5" s="5">
        <f>C5*X5</f>
        <v/>
      </c>
      <c r="AA5" s="7">
        <f>Inputs!$B$35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Inputs!$B$44</f>
        <v/>
      </c>
      <c r="Y6" s="5">
        <f>B6*X6</f>
        <v/>
      </c>
      <c r="Z6" s="5">
        <f>C6*X6</f>
        <v/>
      </c>
      <c r="AA6" s="7">
        <f>Inputs!$C$45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Inputs!$B$44</f>
        <v/>
      </c>
      <c r="Y7" s="5">
        <f>B7*X7</f>
        <v/>
      </c>
      <c r="Z7" s="5">
        <f>C7*X7</f>
        <v/>
      </c>
      <c r="AA7" s="7">
        <f>Inputs!$C$45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Inputs!$B$44</f>
        <v/>
      </c>
      <c r="Y8" s="5">
        <f>B8*X8</f>
        <v/>
      </c>
      <c r="Z8" s="5">
        <f>C8*X8</f>
        <v/>
      </c>
      <c r="AA8" s="7">
        <f>Inputs!$C$45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Inputs!$B$44</f>
        <v/>
      </c>
      <c r="Y9" s="5">
        <f>B9*X9</f>
        <v/>
      </c>
      <c r="Z9" s="5">
        <f>C9*X9</f>
        <v/>
      </c>
      <c r="AA9" s="7">
        <f>Inputs!$C$45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Inputs!$B$44</f>
        <v/>
      </c>
      <c r="Y10" s="5">
        <f>B10*X10</f>
        <v/>
      </c>
      <c r="Z10" s="5">
        <f>C10*X10</f>
        <v/>
      </c>
      <c r="AA10" s="7">
        <f>Inputs!$C$45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Inputs!$B$44</f>
        <v/>
      </c>
      <c r="Y11" s="5">
        <f>B11*X11</f>
        <v/>
      </c>
      <c r="Z11" s="5">
        <f>C11*X11</f>
        <v/>
      </c>
      <c r="AA11" s="7">
        <f>Inputs!$C$45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Inputs!$B$44</f>
        <v/>
      </c>
      <c r="Y13" s="5">
        <f>B13*X13</f>
        <v/>
      </c>
      <c r="Z13" s="5">
        <f>C13*X13</f>
        <v/>
      </c>
      <c r="AA13" s="7">
        <f>Inputs!$C$45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Inputs!$B$44</f>
        <v/>
      </c>
      <c r="Y14" s="5">
        <f>B14*X14</f>
        <v/>
      </c>
      <c r="Z14" s="5">
        <f>C14*X14</f>
        <v/>
      </c>
      <c r="AA14" s="7">
        <f>Inputs!$C$45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Inputs!$B$44</f>
        <v/>
      </c>
      <c r="Y15" s="5">
        <f>B15*X15</f>
        <v/>
      </c>
      <c r="Z15" s="5">
        <f>C15*X15</f>
        <v/>
      </c>
      <c r="AA15" s="7">
        <f>Inputs!$C$45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Inputs!$B$44</f>
        <v/>
      </c>
      <c r="Y16" s="5">
        <f>B16*X16</f>
        <v/>
      </c>
      <c r="Z16" s="5">
        <f>C16*X16</f>
        <v/>
      </c>
      <c r="AA16" s="7">
        <f>Inputs!$C$45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Inputs!$B$44</f>
        <v/>
      </c>
      <c r="Y17" s="5">
        <f>B17*X17</f>
        <v/>
      </c>
      <c r="Z17" s="5">
        <f>C17*X17</f>
        <v/>
      </c>
      <c r="AA17" s="7">
        <f>Inputs!$C$45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Inputs!$B$48</f>
        <v/>
      </c>
      <c r="Y18" s="5">
        <f>B18*X18</f>
        <v/>
      </c>
      <c r="Z18" s="5">
        <f>C18*X18</f>
        <v/>
      </c>
      <c r="AA18" s="7">
        <f>Inputs!$B$48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Inputs!$B$49*Inputs!$B$44</f>
        <v/>
      </c>
      <c r="Y19" s="5">
        <f>B19*X19</f>
        <v/>
      </c>
      <c r="Z19" s="5">
        <f>C19*X19</f>
        <v/>
      </c>
      <c r="AA19" s="7">
        <f>Inputs!$B$49*Inputs!$C$45</f>
        <v/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Inputs!$B$50*Inputs!$B$44</f>
        <v/>
      </c>
      <c r="Y20" s="5">
        <f>B20*X20</f>
        <v/>
      </c>
      <c r="Z20" s="5">
        <f>C20*X20</f>
        <v/>
      </c>
      <c r="AA20" s="7">
        <f>Inputs!$B$50*Inputs!$C$45</f>
        <v/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Inputs!$B$51*Inputs!$B$44</f>
        <v/>
      </c>
      <c r="Y21" s="5">
        <f>B21*X21</f>
        <v/>
      </c>
      <c r="Z21" s="5">
        <f>C21*X21</f>
        <v/>
      </c>
      <c r="AA21" s="7">
        <f>Inputs!$B$51*Inputs!$C$45</f>
        <v/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Inputs!$B$36/1000*Inputs!$B$37*0.092903</f>
        <v/>
      </c>
      <c r="C6" s="15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Inputs!$B$38*B6/1000</f>
        <v/>
      </c>
      <c r="C7" s="15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Inputs!$B$39*B6/1000</f>
        <v/>
      </c>
      <c r="C8" s="15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2026-09-06T00:53:30Z</dcterms:created>
  <dcterms:modified xmlns:dcterms="http://purl.org/dc/terms/" xmlns:xsi="http://www.w3.org/2001/XMLSchema-instance" xsi:type="dcterms:W3CDTF">2026-09-06T00:53:30Z</dcterms:modified>
</cp:coreProperties>
</file>