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tonnes per campus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per campus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53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 build-up and replacement model (2026-09-01, v2)</t>
        </is>
      </c>
    </row>
    <row r="2">
      <c r="A2" t="inlineStr"/>
    </row>
    <row r="3">
      <c r="A3" t="inlineStr">
        <is>
          <t>Reference unit: 1 GW IT-load campus.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campus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campus)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Campus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and equipment enclosures (boxes), replaceable long term</t>
        </is>
      </c>
      <c r="B29" s="2" t="n">
        <v>0.4</v>
      </c>
      <c r="C29" s="2" t="n">
        <v>0.4</v>
      </c>
      <c r="D29" t="inlineStr">
        <is>
          <t>share</t>
        </is>
      </c>
      <c r="E29" t="inlineStr">
        <is>
          <t>estimated [L]; Alex 2026-09-04</t>
        </is>
      </c>
      <c r="F29" t="inlineStr">
        <is>
          <t>Server boxes eventually; the electronics never</t>
        </is>
      </c>
    </row>
    <row r="30">
      <c r="A30" t="inlineStr">
        <is>
          <t>Share of all concrete that is foundations, footings, piers and equipment pads</t>
        </is>
      </c>
      <c r="B30" s="2" t="n">
        <v>0.4</v>
      </c>
      <c r="C30" s="2" t="n">
        <v>0.5</v>
      </c>
      <c r="D30" t="inlineStr">
        <is>
          <t>share</t>
        </is>
      </c>
      <c r="E30" t="inlineStr">
        <is>
          <t>estimated [L]</t>
        </is>
      </c>
      <c r="F30" t="inlineStr">
        <is>
          <t>Remainder is slab on grade, paving and yard</t>
        </is>
      </c>
    </row>
    <row r="31">
      <c r="A31" t="inlineStr">
        <is>
          <t>Long-term technical potential: share of slab-on-grade and paving concrete replaceable</t>
        </is>
      </c>
      <c r="B31" s="2" t="n">
        <v>0.75</v>
      </c>
      <c r="C31" s="2" t="n">
        <v>0.75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plan; no design or code pathway yet</t>
        </is>
      </c>
    </row>
    <row r="32">
      <c r="A32" t="inlineStr">
        <is>
          <t>Long-term technical potential: share of foundations, footings, piers and pads replaceable</t>
        </is>
      </c>
      <c r="B32" s="2" t="n">
        <v>0.9</v>
      </c>
      <c r="C32" s="2" t="n">
        <v>0.9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</t>
        </is>
      </c>
    </row>
    <row r="33">
      <c r="A33" t="inlineStr">
        <is>
          <t>kg SUPERWOOD per kg of concrete replaced</t>
        </is>
      </c>
      <c r="B33" s="2" t="n">
        <v>0.05</v>
      </c>
      <c r="C33" s="2" t="n">
        <v>0.15</v>
      </c>
      <c r="D33" t="inlineStr">
        <is>
          <t>kg/kg</t>
        </is>
      </c>
      <c r="E33" t="inlineStr">
        <is>
          <t>estimated [L]</t>
        </is>
      </c>
      <c r="F33" t="inlineStr">
        <is>
          <t>Lightweight insulated wood-foundation concept; no design exists yet</t>
        </is>
      </c>
    </row>
    <row r="34">
      <c r="A34" t="inlineStr">
        <is>
          <t>Ducting, plenums and air-distribution sheet metal</t>
        </is>
      </c>
      <c r="B34" s="2" t="n">
        <v>3</v>
      </c>
      <c r="C34" s="2" t="n">
        <v>8</v>
      </c>
      <c r="D34" t="inlineStr">
        <is>
          <t>t/MW</t>
        </is>
      </c>
      <c r="E34" t="inlineStr">
        <is>
          <t>estimated [L]</t>
        </is>
      </c>
      <c r="F34" t="inlineStr">
        <is>
          <t>Separate from the mechanical-equipment row</t>
        </is>
      </c>
    </row>
    <row r="35">
      <c r="A35" t="inlineStr">
        <is>
          <t>Concrete emissions</t>
        </is>
      </c>
      <c r="B35" s="2" t="n">
        <v>0.12</v>
      </c>
      <c r="C35" s="2" t="n">
        <v>0.12</v>
      </c>
      <c r="D35" t="inlineStr">
        <is>
          <t>kg CO₂e/kg</t>
        </is>
      </c>
      <c r="E35" t="inlineStr">
        <is>
          <t>industry range [M]</t>
        </is>
      </c>
      <c r="F35" t="inlineStr">
        <is>
          <t>Ready-mix, cradle to gate; typical 0.10–0.15</t>
        </is>
      </c>
    </row>
    <row r="36">
      <c r="A36" t="inlineStr">
        <is>
          <t>SUPERWOOD average board thickness</t>
        </is>
      </c>
      <c r="B36" s="2" t="n">
        <v>7.2</v>
      </c>
      <c r="C36" s="2" t="n">
        <v>7.2</v>
      </c>
      <c r="D36" t="inlineStr">
        <is>
          <t>mm</t>
        </is>
      </c>
      <c r="E36" t="inlineStr">
        <is>
          <t>internal TEM basis [H]</t>
        </is>
      </c>
      <c r="F36" t="inlineStr"/>
    </row>
    <row r="37">
      <c r="A37" t="inlineStr">
        <is>
          <t>SUPERWOOD density</t>
        </is>
      </c>
      <c r="B37" s="2" t="n">
        <v>1300</v>
      </c>
      <c r="C37" s="2" t="n">
        <v>1300</v>
      </c>
      <c r="D37" t="inlineStr">
        <is>
          <t>kg/m³</t>
        </is>
      </c>
      <c r="E37" t="inlineStr">
        <is>
          <t>internal TEM [H]</t>
        </is>
      </c>
      <c r="F37" t="inlineStr"/>
    </row>
    <row r="38">
      <c r="A38" t="inlineStr">
        <is>
          <t>SuperMill One output</t>
        </is>
      </c>
      <c r="B38" s="2" t="n">
        <v>1000000</v>
      </c>
      <c r="C38" s="2" t="n">
        <v>1000000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SuperMill Two output</t>
        </is>
      </c>
      <c r="B39" s="2" t="n">
        <v>36000000</v>
      </c>
      <c r="C39" s="2" t="n">
        <v>36000000</v>
      </c>
      <c r="D39" t="inlineStr">
        <is>
          <t>sf/yr</t>
        </is>
      </c>
      <c r="E39" t="inlineStr">
        <is>
          <t>internal [H]</t>
        </is>
      </c>
      <c r="F39" t="inlineStr"/>
    </row>
    <row r="40">
      <c r="A40" t="inlineStr">
        <is>
          <t>Structural substitution: kg SUPERWOOD per kg steel replaced</t>
        </is>
      </c>
      <c r="B40" s="2" t="n">
        <v>0.3</v>
      </c>
      <c r="C40" s="2" t="n">
        <v>0.6</v>
      </c>
      <c r="D40" t="inlineStr">
        <is>
          <t>kg/kg</t>
        </is>
      </c>
      <c r="E40" t="inlineStr">
        <is>
          <t>estimated [L]</t>
        </is>
      </c>
      <c r="F40" t="inlineStr">
        <is>
          <t>Engineering-stamped per element (Fast + Epp) before external use</t>
        </is>
      </c>
    </row>
    <row r="41">
      <c r="A41" t="inlineStr">
        <is>
          <t>SUPERWOOD in a hybrid wall panel replacing precast</t>
        </is>
      </c>
      <c r="B41" s="2" t="n">
        <v>20</v>
      </c>
      <c r="C41" s="2" t="n">
        <v>40</v>
      </c>
      <c r="D41" t="inlineStr">
        <is>
          <t>kg/m²</t>
        </is>
      </c>
      <c r="E41" t="inlineStr">
        <is>
          <t>estimated [L]</t>
        </is>
      </c>
      <c r="F41" t="inlineStr">
        <is>
          <t>Panel design unsettled</t>
        </is>
      </c>
    </row>
    <row r="42">
      <c r="A42" t="inlineStr">
        <is>
          <t>Addressable share of other tray / containment / doors (medium term)</t>
        </is>
      </c>
      <c r="B42" s="2" t="n">
        <v>0.5</v>
      </c>
      <c r="C42" s="2" t="n">
        <v>0.5</v>
      </c>
      <c r="D42" t="inlineStr">
        <is>
          <t>share</t>
        </is>
      </c>
      <c r="E42" t="inlineStr">
        <is>
          <t>estimated [L]</t>
        </is>
      </c>
      <c r="F42" t="inlineStr"/>
    </row>
    <row r="43">
      <c r="A43" t="inlineStr">
        <is>
          <t>Count rebar as addressable in the long term? (0/1)</t>
        </is>
      </c>
      <c r="B43" s="2" t="n">
        <v>0</v>
      </c>
      <c r="C43" s="2" t="n">
        <v>0</v>
      </c>
      <c r="D43" t="inlineStr">
        <is>
          <t>flag</t>
        </is>
      </c>
      <c r="E43" t="inlineStr">
        <is>
          <t>choice</t>
        </is>
      </c>
      <c r="F43" t="inlineStr">
        <is>
          <t>Rebar is a frontier market with no pathway; off by default</t>
        </is>
      </c>
    </row>
    <row r="44">
      <c r="A44" t="inlineStr">
        <is>
          <t>Steel emissions, global average (BF-BOF)</t>
        </is>
      </c>
      <c r="B44" s="2" t="n">
        <v>1.8</v>
      </c>
      <c r="C44" s="2" t="n">
        <v>1.8</v>
      </c>
      <c r="D44" t="inlineStr">
        <is>
          <t>kg CO₂e/kg</t>
        </is>
      </c>
      <c r="E44" t="inlineStr">
        <is>
          <t>published-class [M]</t>
        </is>
      </c>
      <c r="F44" t="inlineStr"/>
    </row>
    <row r="45">
      <c r="A45" t="inlineStr">
        <is>
          <t>Steel emissions, recycled (EAF)</t>
        </is>
      </c>
      <c r="B45" s="2" t="n">
        <v>0.4</v>
      </c>
      <c r="C45" s="2" t="n">
        <v>0.7</v>
      </c>
      <c r="D45" t="inlineStr">
        <is>
          <t>kg CO₂e/kg</t>
        </is>
      </c>
      <c r="E45" t="inlineStr">
        <is>
          <t>industry range [M]</t>
        </is>
      </c>
      <c r="F45" t="inlineStr"/>
    </row>
    <row r="46">
      <c r="A46" t="inlineStr">
        <is>
          <t>SUPERWOOD manufacturing emissions</t>
        </is>
      </c>
      <c r="B46" s="2" t="n">
        <v>0.5</v>
      </c>
      <c r="C46" s="2" t="n">
        <v>0.5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Canva DCII deck; LCA under way, Prof. Ming Hu, Notre Dame</t>
        </is>
      </c>
    </row>
    <row r="47">
      <c r="A47" t="inlineStr">
        <is>
          <t>SUPERWOOD biogenic carbon stored</t>
        </is>
      </c>
      <c r="B47" s="2" t="n">
        <v>1.3</v>
      </c>
      <c r="C47" s="2" t="n">
        <v>1.3</v>
      </c>
      <c r="D47" t="inlineStr">
        <is>
          <t>kg CO₂e/kg</t>
        </is>
      </c>
      <c r="E47" t="inlineStr">
        <is>
          <t>internal, pre-LCA [L]</t>
        </is>
      </c>
      <c r="F47" t="inlineStr">
        <is>
          <t>Report separately; module C release under EN 15804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</cols>
  <sheetData>
    <row r="1">
      <c r="A1" s="1" t="inlineStr">
        <is>
          <t>Component (building, then contents)</t>
        </is>
      </c>
      <c r="B1" s="1" t="inlineStr">
        <is>
          <t>Low  t per campus</t>
        </is>
      </c>
      <c r="C1" s="1" t="inlineStr">
        <is>
          <t>High  t per campus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Inputs!$B$11*(1-Inputs!$B$30)*Inputs!$B$12*Inputs!$B$2-B5</f>
        <v/>
      </c>
      <c r="C3" s="5">
        <f>Inputs!$C$11*(1-Inputs!$C$30)*Inputs!$C$12*Inputs!$C$2-C5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Inputs!$B$31</f>
        <v/>
      </c>
      <c r="J3" s="5">
        <f>B3*SUM($F3:$I3)</f>
        <v/>
      </c>
      <c r="K3" s="5">
        <f>C3*SUM($F3:$I3)</f>
        <v/>
      </c>
      <c r="L3" s="5">
        <f>J3*Inputs!$B$33</f>
        <v/>
      </c>
      <c r="M3" s="5">
        <f>K3*Inputs!$C$33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</row>
    <row r="4">
      <c r="A4" t="inlineStr">
        <is>
          <t>Concrete: foundations, footings, piers, equipment pads</t>
        </is>
      </c>
      <c r="B4" s="5">
        <f>Inputs!$B$11*Inputs!$B$30*Inputs!$B$12*Inputs!$B$2</f>
        <v/>
      </c>
      <c r="C4" s="5">
        <f>Inputs!$C$11*Inputs!$C$30*Inputs!$C$12*Inputs!$C$2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Inputs!$B$32</f>
        <v/>
      </c>
      <c r="J4" s="5">
        <f>B4*SUM($F4:$I4)</f>
        <v/>
      </c>
      <c r="K4" s="5">
        <f>C4*SUM($F4:$I4)</f>
        <v/>
      </c>
      <c r="L4" s="5">
        <f>J4*Inputs!$B$33</f>
        <v/>
      </c>
      <c r="M4" s="5">
        <f>K4*Inputs!$C$33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SUM($F5:$I5)*Inputs!$B$13*Derived!B4*Inputs!$B$41/1000</f>
        <v/>
      </c>
      <c r="M5" s="5">
        <f>SUM($F5:$I5)*Inputs!$C$13*Derived!C4*Inputs!$C$41/1000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Inputs!$B$30*Inputs!$B$32+(1-Inputs!$B$30)*Inputs!$B$31</f>
        <v/>
      </c>
      <c r="J6" s="5">
        <f>B6*SUM($F6:$I6)</f>
        <v/>
      </c>
      <c r="K6" s="5">
        <f>C6*SUM($F6:$I6)</f>
        <v/>
      </c>
      <c r="L6" s="5">
        <f>J6*Inputs!$B$40</f>
        <v/>
      </c>
      <c r="M6" s="5">
        <f>K6*Inputs!$C$40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J7*Inputs!$B$40</f>
        <v/>
      </c>
      <c r="M7" s="5">
        <f>K7*Inputs!$C$40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J8*Inputs!$B$40</f>
        <v/>
      </c>
      <c r="M8" s="5">
        <f>K8*Inputs!$C$40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J13*Inputs!$B$40</f>
        <v/>
      </c>
      <c r="M13" s="5">
        <f>K13*Inputs!$C$40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J14*Inputs!$B$40</f>
        <v/>
      </c>
      <c r="M14" s="5">
        <f>K14*Inputs!$C$40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J15*Inputs!$B$40</f>
        <v/>
      </c>
      <c r="M15" s="5">
        <f>K15*Inputs!$C$40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Inputs!$B$42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J16*Inputs!$B$40</f>
        <v/>
      </c>
      <c r="M16" s="5">
        <f>K16*Inputs!$C$40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</row>
    <row r="17">
      <c r="A17" t="inlineStr">
        <is>
          <t>Ducting, plenums and air-distribution sheet metal</t>
        </is>
      </c>
      <c r="B17" s="5">
        <f>Inputs!$B$34*Inputs!$B$2</f>
        <v/>
      </c>
      <c r="C17" s="5">
        <f>Inputs!$C$34*Inputs!$C$2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J17*Inputs!$B$40</f>
        <v/>
      </c>
      <c r="M17" s="5">
        <f>K17*Inputs!$C$40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>
        <f>Inputs!$B$29</f>
        <v/>
      </c>
      <c r="J21" s="5">
        <f>B21*SUM($F21:$I21)</f>
        <v/>
      </c>
      <c r="K21" s="5">
        <f>C21*SUM($F21:$I21)</f>
        <v/>
      </c>
      <c r="L21" s="5">
        <f>J21*Inputs!$B$40</f>
        <v/>
      </c>
      <c r="M21" s="5">
        <f>K21*Inputs!$C$40</f>
        <v/>
      </c>
      <c r="N21" t="inlineStr">
        <is>
          <t>Server and equipment enclosures only (40% of IT mass, estimate);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</row>
    <row r="23">
      <c r="A23" s="3" t="inlineStr">
        <is>
          <t>SUMMARY — per campus</t>
        </is>
      </c>
    </row>
    <row r="24">
      <c r="A24" s="7" t="inlineStr">
        <is>
          <t>Total mass, building and contents (t)</t>
        </is>
      </c>
      <c r="B24" s="8">
        <f>SUM(B3:B21)</f>
        <v/>
      </c>
      <c r="C24" s="8">
        <f>SUM(C3:C21)</f>
        <v/>
      </c>
    </row>
    <row r="25">
      <c r="A25" s="7" t="inlineStr">
        <is>
          <t>Total excluding concrete (t)</t>
        </is>
      </c>
      <c r="B25" s="8">
        <f>B24-B3-B4-B5</f>
        <v/>
      </c>
      <c r="C25" s="8">
        <f>C24-C3-C4-C5</f>
        <v/>
      </c>
    </row>
    <row r="27">
      <c r="A27" s="7" t="inlineStr">
        <is>
          <t>Replaced by SUPERWOOD, by horizon</t>
        </is>
      </c>
    </row>
    <row r="28">
      <c r="A28" s="9" t="inlineStr">
        <is>
          <t>Immediate — incumbent mass replaced (t)</t>
        </is>
      </c>
      <c r="B28" s="10">
        <f>SUMPRODUCT(B3:B21,F3:F21)</f>
        <v/>
      </c>
      <c r="C28" s="10">
        <f>SUMPRODUCT(C3:C21,F3:F21)</f>
        <v/>
      </c>
    </row>
    <row r="29">
      <c r="A29" s="9" t="inlineStr">
        <is>
          <t>Immediate — SUPERWOOD required (t)</t>
        </is>
      </c>
      <c r="B29" s="10">
        <f>SUM(P3:P21)</f>
        <v/>
      </c>
      <c r="C29" s="10">
        <f>SUM(T3:T21)</f>
        <v/>
      </c>
    </row>
    <row r="30">
      <c r="A30" s="9" t="inlineStr">
        <is>
          <t>Immediate — SUPERWOOD required (sf)</t>
        </is>
      </c>
      <c r="B30" s="10">
        <f>B29*1000/Derived!B6</f>
        <v/>
      </c>
      <c r="C30" s="10">
        <f>C29*1000/Derived!C6</f>
        <v/>
      </c>
    </row>
    <row r="31">
      <c r="A31" s="9" t="inlineStr">
        <is>
          <t>Immediate — years of SuperMill One output</t>
        </is>
      </c>
      <c r="B31" s="11">
        <f>B29/Derived!B7</f>
        <v/>
      </c>
      <c r="C31" s="11">
        <f>C29/Derived!C7</f>
        <v/>
      </c>
    </row>
    <row r="33">
      <c r="A33" s="9" t="inlineStr">
        <is>
          <t>Soon — incumbent mass replaced (t)</t>
        </is>
      </c>
      <c r="B33" s="10">
        <f>SUMPRODUCT(B3:B21,G3:G21)</f>
        <v/>
      </c>
      <c r="C33" s="10">
        <f>SUMPRODUCT(C3:C21,G3:G21)</f>
        <v/>
      </c>
    </row>
    <row r="34">
      <c r="A34" s="9" t="inlineStr">
        <is>
          <t>Soon — SUPERWOOD required (t)</t>
        </is>
      </c>
      <c r="B34" s="10">
        <f>SUM(Q3:Q21)</f>
        <v/>
      </c>
      <c r="C34" s="10">
        <f>SUM(U3:U21)</f>
        <v/>
      </c>
    </row>
    <row r="35">
      <c r="A35" s="9" t="inlineStr">
        <is>
          <t>Soon — years of SuperMill Two output</t>
        </is>
      </c>
      <c r="B35" s="11">
        <f>B34/Derived!B8</f>
        <v/>
      </c>
      <c r="C35" s="11">
        <f>C34/Derived!C8</f>
        <v/>
      </c>
    </row>
    <row r="37">
      <c r="A37" s="9" t="inlineStr">
        <is>
          <t>Medium term — incumbent mass replaced (t)</t>
        </is>
      </c>
      <c r="B37" s="10">
        <f>SUMPRODUCT(B3:B21,H3:H21)</f>
        <v/>
      </c>
      <c r="C37" s="10">
        <f>SUMPRODUCT(C3:C21,H3:H21)</f>
        <v/>
      </c>
    </row>
    <row r="38">
      <c r="A38" s="9" t="inlineStr">
        <is>
          <t>Medium term — SUPERWOOD required (t)</t>
        </is>
      </c>
      <c r="B38" s="10">
        <f>SUM(R3:R21)</f>
        <v/>
      </c>
      <c r="C38" s="10">
        <f>SUM(V3:V21)</f>
        <v/>
      </c>
    </row>
    <row r="39">
      <c r="A39" s="9" t="inlineStr">
        <is>
          <t>Medium term — years of SuperMill Two output</t>
        </is>
      </c>
      <c r="B39" s="11">
        <f>B38/Derived!B8</f>
        <v/>
      </c>
      <c r="C39" s="11">
        <f>C38/Derived!C8</f>
        <v/>
      </c>
    </row>
    <row r="41">
      <c r="A41" s="9" t="inlineStr">
        <is>
          <t>Long term — incumbent mass replaced (t)</t>
        </is>
      </c>
      <c r="B41" s="10">
        <f>SUMPRODUCT(B3:B21,I3:I21)</f>
        <v/>
      </c>
      <c r="C41" s="10">
        <f>SUMPRODUCT(C3:C21,I3:I21)</f>
        <v/>
      </c>
    </row>
    <row r="42">
      <c r="A42" s="9" t="inlineStr">
        <is>
          <t>Long term — SUPERWOOD required (t)</t>
        </is>
      </c>
      <c r="B42" s="10">
        <f>SUM(S3:S21)</f>
        <v/>
      </c>
      <c r="C42" s="10">
        <f>SUM(W3:W21)</f>
        <v/>
      </c>
    </row>
    <row r="43">
      <c r="A43" s="9" t="inlineStr">
        <is>
          <t>Long term — years of SuperMill Two output</t>
        </is>
      </c>
      <c r="B43" s="11">
        <f>B42/Derived!B8</f>
        <v/>
      </c>
      <c r="C43" s="11">
        <f>C42/Derived!C8</f>
        <v/>
      </c>
    </row>
    <row r="45">
      <c r="A45" s="7" t="inlineStr">
        <is>
          <t>Cumulative incumbent mass replaced (t)</t>
        </is>
      </c>
      <c r="B45" s="8">
        <f>SUM(J3:J21)</f>
        <v/>
      </c>
      <c r="C45" s="8">
        <f>SUM(K3:K21)</f>
        <v/>
      </c>
    </row>
    <row r="46">
      <c r="A46" s="7" t="inlineStr">
        <is>
          <t>Cumulative SUPERWOOD required (t)</t>
        </is>
      </c>
      <c r="B46" s="8">
        <f>SUM(L3:L21)</f>
        <v/>
      </c>
      <c r="C46" s="8">
        <f>SUM(M3:M21)</f>
        <v/>
      </c>
    </row>
    <row r="47">
      <c r="A47" s="9" t="inlineStr">
        <is>
          <t>Cumulative years of SuperMill Two output</t>
        </is>
      </c>
      <c r="B47" s="11">
        <f>B46/Derived!B8</f>
        <v/>
      </c>
      <c r="C47" s="11">
        <f>C46/Derived!C8</f>
        <v/>
      </c>
    </row>
    <row r="48">
      <c r="A48" s="9" t="inlineStr">
        <is>
          <t>Share of total mass replaced</t>
        </is>
      </c>
      <c r="B48" s="12">
        <f>B45/B24</f>
        <v/>
      </c>
      <c r="C48" s="12">
        <f>C45/C24</f>
        <v/>
      </c>
    </row>
    <row r="49">
      <c r="A49" s="9" t="inlineStr">
        <is>
          <t>Share of ex-concrete mass replaced through the medium term (excludes foundations)</t>
        </is>
      </c>
      <c r="B49" s="12">
        <f>(B45-B41)/B25</f>
        <v/>
      </c>
      <c r="C49" s="12">
        <f>(C45-C41)/C25</f>
        <v/>
      </c>
    </row>
    <row r="50">
      <c r="A50" s="7" t="inlineStr">
        <is>
          <t>Not replaced by SUPERWOOD (t)</t>
        </is>
      </c>
      <c r="B50" s="8">
        <f>B24-B45</f>
        <v/>
      </c>
      <c r="C50" s="8">
        <f>C24-C45</f>
        <v/>
      </c>
    </row>
    <row r="51">
      <c r="A51" s="9" t="inlineStr">
        <is>
          <t>Not replaced, share of total</t>
        </is>
      </c>
      <c r="B51" s="12">
        <f>B50/B24</f>
        <v/>
      </c>
      <c r="C51" s="12">
        <f>C50/C24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3">
        <f>Inputs!$B$3*Inputs!$B$2/Inputs!$B$4</f>
        <v/>
      </c>
      <c r="C2" s="13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3">
        <f>B2*Inputs!$B$5</f>
        <v/>
      </c>
      <c r="C3" s="13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3">
        <f>B3*0.092903</f>
        <v/>
      </c>
      <c r="C4" s="13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3">
        <f>Inputs!$B$7*1000*Inputs!$B$8/0.092903</f>
        <v/>
      </c>
      <c r="C5" s="13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3">
        <f>Inputs!$B$36/1000*Inputs!$B$37*0.092903</f>
        <v/>
      </c>
      <c r="C6" s="13">
        <f>Inputs!$C$36/1000*Inputs!$C$37*0.092903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3">
        <f>Inputs!$B$38*B6/1000</f>
        <v/>
      </c>
      <c r="C7" s="13">
        <f>Inputs!$C$38*C6/1000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3">
        <f>Inputs!$B$39*B6/1000</f>
        <v/>
      </c>
      <c r="C8" s="13">
        <f>Inputs!$C$39*C6/1000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'1 GW data center'!B28*Inputs!$B$44</f>
        <v/>
      </c>
      <c r="C2" s="4">
        <f>'1 GW data center'!C28*Inputs!$C$44</f>
        <v/>
      </c>
      <c r="D2" s="4">
        <f>'1 GW data center'!B29*Inputs!$B$46</f>
        <v/>
      </c>
      <c r="E2" s="4">
        <f>'1 GW data center'!C29*Inputs!$C$46</f>
        <v/>
      </c>
      <c r="F2" s="4">
        <f>B2-D2</f>
        <v/>
      </c>
      <c r="G2" s="4">
        <f>C2-E2</f>
        <v/>
      </c>
      <c r="H2" s="4">
        <f>'1 GW data center'!B28*Inputs!$B$45-D2</f>
        <v/>
      </c>
      <c r="I2" s="4">
        <f>'1 GW data center'!C28*Inputs!$C$45-E2</f>
        <v/>
      </c>
      <c r="J2" s="4">
        <f>'1 GW data center'!B29*Inputs!$B$47</f>
        <v/>
      </c>
      <c r="K2" s="4">
        <f>'1 GW data center'!C29*Inputs!$C$47</f>
        <v/>
      </c>
    </row>
    <row r="3">
      <c r="A3" t="inlineStr">
        <is>
          <t>Soon (steel)</t>
        </is>
      </c>
      <c r="B3" s="4">
        <f>'1 GW data center'!B33*Inputs!$B$44</f>
        <v/>
      </c>
      <c r="C3" s="4">
        <f>'1 GW data center'!C33*Inputs!$C$44</f>
        <v/>
      </c>
      <c r="D3" s="4">
        <f>'1 GW data center'!B34*Inputs!$B$46</f>
        <v/>
      </c>
      <c r="E3" s="4">
        <f>'1 GW data center'!C34*Inputs!$C$46</f>
        <v/>
      </c>
      <c r="F3" s="4">
        <f>B3-D3</f>
        <v/>
      </c>
      <c r="G3" s="4">
        <f>C3-E3</f>
        <v/>
      </c>
      <c r="H3" s="4">
        <f>'1 GW data center'!B33*Inputs!$B$45-D3</f>
        <v/>
      </c>
      <c r="I3" s="4">
        <f>'1 GW data center'!C33*Inputs!$C$45-E3</f>
        <v/>
      </c>
      <c r="J3" s="4">
        <f>'1 GW data center'!B34*Inputs!$B$47</f>
        <v/>
      </c>
      <c r="K3" s="4">
        <f>'1 GW data center'!C34*Inputs!$C$47</f>
        <v/>
      </c>
    </row>
    <row r="4">
      <c r="A4" t="inlineStr">
        <is>
          <t>Medium term (steel)</t>
        </is>
      </c>
      <c r="B4" s="4">
        <f>'1 GW data center'!B37*Inputs!$B$44</f>
        <v/>
      </c>
      <c r="C4" s="4">
        <f>'1 GW data center'!C37*Inputs!$C$44</f>
        <v/>
      </c>
      <c r="D4" s="4">
        <f>'1 GW data center'!B38*Inputs!$B$46</f>
        <v/>
      </c>
      <c r="E4" s="4">
        <f>'1 GW data center'!C38*Inputs!$C$46</f>
        <v/>
      </c>
      <c r="F4" s="4">
        <f>B4-D4</f>
        <v/>
      </c>
      <c r="G4" s="4">
        <f>C4-E4</f>
        <v/>
      </c>
      <c r="H4" s="4">
        <f>'1 GW data center'!B37*Inputs!$B$45-D4</f>
        <v/>
      </c>
      <c r="I4" s="4">
        <f>'1 GW data center'!C37*Inputs!$C$45-E4</f>
        <v/>
      </c>
      <c r="J4" s="4">
        <f>'1 GW data center'!B38*Inputs!$B$47</f>
        <v/>
      </c>
      <c r="K4" s="4">
        <f>'1 GW data center'!C38*Inputs!$C$47</f>
        <v/>
      </c>
    </row>
    <row r="5">
      <c r="A5" t="inlineStr">
        <is>
          <t>Long term (foundation concrete)</t>
        </is>
      </c>
      <c r="B5" s="4">
        <f>'1 GW data center'!B41*Inputs!$B$35</f>
        <v/>
      </c>
      <c r="C5" s="4">
        <f>'1 GW data center'!C41*Inputs!$C$35</f>
        <v/>
      </c>
      <c r="D5" s="4">
        <f>'1 GW data center'!B42*Inputs!$B$46</f>
        <v/>
      </c>
      <c r="E5" s="4">
        <f>'1 GW data center'!C42*Inputs!$C$46</f>
        <v/>
      </c>
      <c r="F5" s="4">
        <f>B5-D5</f>
        <v/>
      </c>
      <c r="G5" s="4">
        <f>C5-E5</f>
        <v/>
      </c>
      <c r="H5" s="4">
        <f>"n/a"</f>
        <v/>
      </c>
      <c r="I5" s="4">
        <f>"n/a"</f>
        <v/>
      </c>
      <c r="J5" s="4">
        <f>'1 GW data center'!B42*Inputs!$B$47</f>
        <v/>
      </c>
      <c r="K5" s="4">
        <f>'1 GW data center'!C42*Inputs!$C$47</f>
        <v/>
      </c>
    </row>
    <row r="7">
      <c r="A7" t="inlineStr">
        <is>
          <t>Pre-LCA projections (LCA under way with Prof. Ming Hu, University of Notre Dame). Long-term row uses a concrete factor (Inputs co2_conc) and treats the rebar in foundations at the concrete factor — conservative. Biogenic storage reported separately (EN 15804 module C).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2026-09-04T22:36:06Z</dcterms:created>
  <dcterms:modified xmlns:dcterms="http://purl.org/dc/terms/" xmlns:xsi="http://www.w3.org/2001/XMLSchema-instance" xsi:type="dcterms:W3CDTF">2026-09-04T22:36:06Z</dcterms:modified>
</cp:coreProperties>
</file>