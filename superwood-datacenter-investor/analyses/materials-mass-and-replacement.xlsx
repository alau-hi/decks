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Foundations" sheetId="5" state="visible" r:id="rId5"/>
    <sheet xmlns:r="http://schemas.openxmlformats.org/officeDocument/2006/relationships" name="Carbon" sheetId="6" state="visible" r:id="rId6"/>
    <sheet xmlns:r="http://schemas.openxmlformats.org/officeDocument/2006/relationships" name="Steel shar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2" fontId="0" fillId="4" borderId="0" pivotButton="0" quotePrefix="0" xfId="0"/>
    <xf numFmtId="2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  <xf numFmtId="9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tons per data center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 per data center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mass, embodied carbon and replacement model (2026-09-04, v3)</t>
        </is>
      </c>
    </row>
    <row r="2">
      <c r="A2" t="inlineStr"/>
    </row>
    <row r="3">
      <c r="A3" t="inlineStr">
        <is>
          <t>Reference unit: 1 GW IT-load data center.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Embodied carbon: columns X–AB on the main sheet value each row at its own factor (concrete, steel, mixed; equipment not estimated), with totals and steel/concrete shares in the summary; the Carbon sheet rolls avoided emissions up by horizon at those factors and at the recycled-steel (EAF) factor. Steel share: the Steel share sheet estimates what fraction of above-ground mass, contents included, is steel (per-component steel fractions are yellow inputs).</t>
        </is>
      </c>
    </row>
    <row r="11">
      <c r="A11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data center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data center)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Data center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Share of mechanical mass that is equipment shells, casings and fan-wall frames — SUPERWOOD in the medium term</t>
        </is>
      </c>
      <c r="B28" s="2" t="n">
        <v>0.25</v>
      </c>
      <c r="C28" s="2" t="n">
        <v>0.25</v>
      </c>
      <c r="D28" t="inlineStr">
        <is>
          <t>share</t>
        </is>
      </c>
      <c r="E28" t="inlineStr">
        <is>
          <t>estimated [L]; Alex 2026-09-06</t>
        </is>
      </c>
      <c r="F28" t="inlineStr">
        <is>
          <t>About half of the steel in the row; compressor and pump bodies, tubes and steel piping excluded</t>
        </is>
      </c>
    </row>
    <row r="29">
      <c r="A29" t="inlineStr">
        <is>
          <t>Share of mechanical mass that is fan blades — long term, needs investigation</t>
        </is>
      </c>
      <c r="B29" s="2" t="n">
        <v>0.02</v>
      </c>
      <c r="C29" s="2" t="n">
        <v>0.02</v>
      </c>
      <c r="D29" t="inlineStr">
        <is>
          <t>share</t>
        </is>
      </c>
      <c r="E29" t="inlineStr">
        <is>
          <t>estimated [L]; Alex 2026-09-06</t>
        </is>
      </c>
      <c r="F29" t="inlineStr">
        <is>
          <t>Aluminum or composite blades today; SUPERWOOD blades are a research question</t>
        </is>
      </c>
    </row>
    <row r="30">
      <c r="A30" t="inlineStr">
        <is>
          <t>IT: servers and racks</t>
        </is>
      </c>
      <c r="B30" s="2" t="n">
        <v>15</v>
      </c>
      <c r="C30" s="2" t="n">
        <v>70</v>
      </c>
      <c r="D30" t="inlineStr">
        <is>
          <t>t/MW</t>
        </is>
      </c>
      <c r="E30" t="inlineStr">
        <is>
          <t>estimated [L]</t>
        </is>
      </c>
      <c r="F30" t="inlineStr">
        <is>
          <t>Loaded rack ~1 t; GB200 NVL72 ~1.36 t [H]</t>
        </is>
      </c>
    </row>
    <row r="31">
      <c r="A31" t="inlineStr">
        <is>
          <t>Share of IT mass that is server rack cabinets (frames, panels, doors) — substitutable soon</t>
        </is>
      </c>
      <c r="B31" s="2" t="n">
        <v>0.18</v>
      </c>
      <c r="C31" s="2" t="n">
        <v>0.18</v>
      </c>
      <c r="D31" t="inlineStr">
        <is>
          <t>share</t>
        </is>
      </c>
      <c r="E31" t="inlineStr">
        <is>
          <t>estimated [L]; Alex 2026-09-06</t>
        </is>
      </c>
      <c r="F31" t="inlineStr">
        <is>
          <t>A loaded rack of 1–1.4 t carries a 150–250 kg steel cabinet</t>
        </is>
      </c>
    </row>
    <row r="32">
      <c r="A32" t="inlineStr">
        <is>
          <t>Share of IT mass that is server enclosures (sheet-steel chassis) — long term</t>
        </is>
      </c>
      <c r="B32" s="2" t="n">
        <v>0.3</v>
      </c>
      <c r="C32" s="2" t="n">
        <v>0.3</v>
      </c>
      <c r="D32" t="inlineStr">
        <is>
          <t>share</t>
        </is>
      </c>
      <c r="E32" t="inlineStr">
        <is>
          <t>estimated [M]; analyses/it-rack-material-stack.md, applied 2026-09-06</t>
        </is>
      </c>
      <c r="F32" t="inlineStr">
        <is>
          <t>Server boxes eventually; the electronics never</t>
        </is>
      </c>
    </row>
    <row r="33">
      <c r="A33" t="inlineStr">
        <is>
          <t>Share of all concrete that is foundations, footings, piers and equipment pads</t>
        </is>
      </c>
      <c r="B33" s="2" t="n">
        <v>0.4</v>
      </c>
      <c r="C33" s="2" t="n">
        <v>0.5</v>
      </c>
      <c r="D33" t="inlineStr">
        <is>
          <t>share</t>
        </is>
      </c>
      <c r="E33" t="inlineStr">
        <is>
          <t>estimated [L]</t>
        </is>
      </c>
      <c r="F33" t="inlineStr">
        <is>
          <t>Remainder is slab on grade, paving and yard</t>
        </is>
      </c>
    </row>
    <row r="34">
      <c r="A34" t="inlineStr">
        <is>
          <t>Long-term technical potential: share of slab-on-grade and paving concrete replaceable</t>
        </is>
      </c>
      <c r="B34" s="2" t="n">
        <v>0.75</v>
      </c>
      <c r="C34" s="2" t="n">
        <v>0.75</v>
      </c>
      <c r="D34" t="inlineStr">
        <is>
          <t>share</t>
        </is>
      </c>
      <c r="E34" t="inlineStr">
        <is>
          <t>asserted-internal (Alex, 2026-09-01) [L]</t>
        </is>
      </c>
      <c r="F34" t="inlineStr">
        <is>
          <t>Technical potential, not a plan; no design or code pathway yet</t>
        </is>
      </c>
    </row>
    <row r="35">
      <c r="A35" t="inlineStr">
        <is>
          <t>Long-term technical potential: share of foundations, footings, piers and pads replaceable</t>
        </is>
      </c>
      <c r="B35" s="2" t="n">
        <v>0.9</v>
      </c>
      <c r="C35" s="2" t="n">
        <v>0.9</v>
      </c>
      <c r="D35" t="inlineStr">
        <is>
          <t>share</t>
        </is>
      </c>
      <c r="E35" t="inlineStr">
        <is>
          <t>asserted-internal (Alex, 2026-09-01) [L]</t>
        </is>
      </c>
      <c r="F35" t="inlineStr">
        <is>
          <t>Technical potential, not a plan</t>
        </is>
      </c>
    </row>
    <row r="36">
      <c r="A36" t="inlineStr">
        <is>
          <t>kg SUPERWOOD per kg of concrete replaced</t>
        </is>
      </c>
      <c r="B36" s="2" t="n">
        <v>0.05</v>
      </c>
      <c r="C36" s="2" t="n">
        <v>0.15</v>
      </c>
      <c r="D36" t="inlineStr">
        <is>
          <t>kg/kg</t>
        </is>
      </c>
      <c r="E36" t="inlineStr">
        <is>
          <t>estimated [L]</t>
        </is>
      </c>
      <c r="F36" t="inlineStr">
        <is>
          <t>Lightweight insulated wood-foundation concept; no design exists yet</t>
        </is>
      </c>
    </row>
    <row r="37">
      <c r="A37" t="inlineStr">
        <is>
          <t>Ducting, plenums and air-distribution sheet metal</t>
        </is>
      </c>
      <c r="B37" s="2" t="n">
        <v>3</v>
      </c>
      <c r="C37" s="2" t="n">
        <v>8</v>
      </c>
      <c r="D37" t="inlineStr">
        <is>
          <t>t/MW</t>
        </is>
      </c>
      <c r="E37" t="inlineStr">
        <is>
          <t>estimated [L]</t>
        </is>
      </c>
      <c r="F37" t="inlineStr">
        <is>
          <t>Separate from the mechanical-equipment row</t>
        </is>
      </c>
    </row>
    <row r="38">
      <c r="A38" t="inlineStr">
        <is>
          <t>Concrete emissions</t>
        </is>
      </c>
      <c r="B38" s="2" t="n">
        <v>0.12</v>
      </c>
      <c r="C38" s="2" t="n">
        <v>0.12</v>
      </c>
      <c r="D38" t="inlineStr">
        <is>
          <t>kg CO₂e/kg</t>
        </is>
      </c>
      <c r="E38" t="inlineStr">
        <is>
          <t>industry range [M]</t>
        </is>
      </c>
      <c r="F38" t="inlineStr">
        <is>
          <t>Ready-mix, cradle to gate; typical 0.10–0.15</t>
        </is>
      </c>
    </row>
    <row r="39">
      <c r="A39" t="inlineStr">
        <is>
          <t>Polymers in paints, foam cores and plastic trim (average)</t>
        </is>
      </c>
      <c r="B39" s="2" t="n">
        <v>3</v>
      </c>
      <c r="C39" s="2" t="n">
        <v>3</v>
      </c>
      <c r="D39" t="inlineStr">
        <is>
          <t>kg CO₂e/kg</t>
        </is>
      </c>
      <c r="E39" t="inlineStr">
        <is>
          <t>industry range [M]; Alex 2026-09-05</t>
        </is>
      </c>
      <c r="F39" t="inlineStr">
        <is>
          <t>Cradle to gate; polyolefins and PVC about 2–2.5, polyurethane foam 3–4, coatings higher</t>
        </is>
      </c>
    </row>
    <row r="40">
      <c r="A40" t="inlineStr">
        <is>
          <t>SUPERWOOD average board thickness</t>
        </is>
      </c>
      <c r="B40" s="2" t="n">
        <v>7.2</v>
      </c>
      <c r="C40" s="2" t="n">
        <v>7.2</v>
      </c>
      <c r="D40" t="inlineStr">
        <is>
          <t>mm</t>
        </is>
      </c>
      <c r="E40" t="inlineStr">
        <is>
          <t>internal TEM basis [H]</t>
        </is>
      </c>
      <c r="F40" t="inlineStr"/>
    </row>
    <row r="41">
      <c r="A41" t="inlineStr">
        <is>
          <t>SUPERWOOD density</t>
        </is>
      </c>
      <c r="B41" s="2" t="n">
        <v>1300</v>
      </c>
      <c r="C41" s="2" t="n">
        <v>1300</v>
      </c>
      <c r="D41" t="inlineStr">
        <is>
          <t>kg/m³</t>
        </is>
      </c>
      <c r="E41" t="inlineStr">
        <is>
          <t>internal TEM [H]</t>
        </is>
      </c>
      <c r="F41" t="inlineStr"/>
    </row>
    <row r="42">
      <c r="A42" t="inlineStr">
        <is>
          <t>SuperMill One output</t>
        </is>
      </c>
      <c r="B42" s="2" t="n">
        <v>1000000</v>
      </c>
      <c r="C42" s="2" t="n">
        <v>1000000</v>
      </c>
      <c r="D42" t="inlineStr">
        <is>
          <t>sf/yr</t>
        </is>
      </c>
      <c r="E42" t="inlineStr">
        <is>
          <t>internal [H]</t>
        </is>
      </c>
      <c r="F42" t="inlineStr"/>
    </row>
    <row r="43">
      <c r="A43" t="inlineStr">
        <is>
          <t>SuperMill Two output</t>
        </is>
      </c>
      <c r="B43" s="2" t="n">
        <v>36000000</v>
      </c>
      <c r="C43" s="2" t="n">
        <v>36000000</v>
      </c>
      <c r="D43" t="inlineStr">
        <is>
          <t>sf/yr</t>
        </is>
      </c>
      <c r="E43" t="inlineStr">
        <is>
          <t>internal [H]</t>
        </is>
      </c>
      <c r="F43" t="inlineStr"/>
    </row>
    <row r="44">
      <c r="A44" t="inlineStr">
        <is>
          <t>Structural substitution: kg SUPERWOOD per kg steel replaced</t>
        </is>
      </c>
      <c r="B44" s="2" t="n">
        <v>0.3</v>
      </c>
      <c r="C44" s="2" t="n">
        <v>0.6</v>
      </c>
      <c r="D44" t="inlineStr">
        <is>
          <t>kg/kg</t>
        </is>
      </c>
      <c r="E44" t="inlineStr">
        <is>
          <t>estimated [L]</t>
        </is>
      </c>
      <c r="F44" t="inlineStr">
        <is>
          <t>Engineering-stamped per element (Fast + Epp) before external use</t>
        </is>
      </c>
    </row>
    <row r="45">
      <c r="A45" t="inlineStr">
        <is>
          <t>SUPERWOOD in a hybrid wall panel replacing precast</t>
        </is>
      </c>
      <c r="B45" s="2" t="n">
        <v>20</v>
      </c>
      <c r="C45" s="2" t="n">
        <v>40</v>
      </c>
      <c r="D45" t="inlineStr">
        <is>
          <t>kg/m²</t>
        </is>
      </c>
      <c r="E45" t="inlineStr">
        <is>
          <t>estimated [L]</t>
        </is>
      </c>
      <c r="F45" t="inlineStr">
        <is>
          <t>Panel design unsettled</t>
        </is>
      </c>
    </row>
    <row r="46">
      <c r="A46" t="inlineStr">
        <is>
          <t>Addressable share of other tray / containment / doors (medium term)</t>
        </is>
      </c>
      <c r="B46" s="2" t="n">
        <v>0.5</v>
      </c>
      <c r="C46" s="2" t="n">
        <v>0.5</v>
      </c>
      <c r="D46" t="inlineStr">
        <is>
          <t>share</t>
        </is>
      </c>
      <c r="E46" t="inlineStr">
        <is>
          <t>estimated [L]</t>
        </is>
      </c>
      <c r="F46" t="inlineStr"/>
    </row>
    <row r="47">
      <c r="A47" t="inlineStr">
        <is>
          <t>Count rebar as addressable in the long term? (0/1)</t>
        </is>
      </c>
      <c r="B47" s="2" t="n">
        <v>0</v>
      </c>
      <c r="C47" s="2" t="n">
        <v>0</v>
      </c>
      <c r="D47" t="inlineStr">
        <is>
          <t>flag</t>
        </is>
      </c>
      <c r="E47" t="inlineStr">
        <is>
          <t>choice</t>
        </is>
      </c>
      <c r="F47" t="inlineStr">
        <is>
          <t>Rebar is a frontier market with no pathway; off by default</t>
        </is>
      </c>
    </row>
    <row r="48">
      <c r="A48" t="inlineStr">
        <is>
          <t>Concrete basis: 0 = published per-MW intensity, 1 = footprint bottom-up (Foundations sheet)</t>
        </is>
      </c>
      <c r="B48" s="2" t="n">
        <v>0</v>
      </c>
      <c r="C48" s="2" t="n">
        <v>0</v>
      </c>
      <c r="D48" t="inlineStr">
        <is>
          <t>switch</t>
        </is>
      </c>
      <c r="E48" t="inlineStr">
        <is>
          <t>choice</t>
        </is>
      </c>
      <c r="F48" t="inlineStr">
        <is>
          <t>Scenario switch, added 2026-09-06; the deck prints the per-MW basis until Alex decides</t>
        </is>
      </c>
    </row>
    <row r="49">
      <c r="A49" t="inlineStr">
        <is>
          <t>Soil case for the footprint basis: 1 good (spread footings), 2 moderate (lean concrete, larger footings), 3 poor (piles, pile caps, structural slab)</t>
        </is>
      </c>
      <c r="B49" s="2" t="n">
        <v>1</v>
      </c>
      <c r="C49" s="2" t="n">
        <v>1</v>
      </c>
      <c r="D49" t="inlineStr">
        <is>
          <t>switch</t>
        </is>
      </c>
      <c r="E49" t="inlineStr">
        <is>
          <t>choice</t>
        </is>
      </c>
      <c r="F49" t="inlineStr">
        <is>
          <t>Geotechnical allowance, Foundations sheet</t>
        </is>
      </c>
    </row>
    <row r="50">
      <c r="A50" t="inlineStr">
        <is>
          <t>Hall slab on grade thickness</t>
        </is>
      </c>
      <c r="B50" s="2" t="n">
        <v>6</v>
      </c>
      <c r="C50" s="2" t="n">
        <v>8</v>
      </c>
      <c r="D50" t="inlineStr">
        <is>
          <t>in</t>
        </is>
      </c>
      <c r="E50" t="inlineStr">
        <is>
          <t>estimated [L]</t>
        </is>
      </c>
      <c r="F50" t="inlineStr"/>
    </row>
    <row r="51">
      <c r="A51" t="inlineStr">
        <is>
          <t>Share of hall floor thickened (electrical rooms, dense rack rows)</t>
        </is>
      </c>
      <c r="B51" s="2" t="n">
        <v>0.15</v>
      </c>
      <c r="C51" s="2" t="n">
        <v>0.25</v>
      </c>
      <c r="D51" t="inlineStr">
        <is>
          <t>share</t>
        </is>
      </c>
      <c r="E51" t="inlineStr">
        <is>
          <t>estimated [L]</t>
        </is>
      </c>
      <c r="F51" t="inlineStr"/>
    </row>
    <row r="52">
      <c r="A52" t="inlineStr">
        <is>
          <t>Thickened slab thickness</t>
        </is>
      </c>
      <c r="B52" s="2" t="n">
        <v>10</v>
      </c>
      <c r="C52" s="2" t="n">
        <v>12</v>
      </c>
      <c r="D52" t="inlineStr">
        <is>
          <t>in</t>
        </is>
      </c>
      <c r="E52" t="inlineStr">
        <is>
          <t>estimated [L]</t>
        </is>
      </c>
      <c r="F52" t="inlineStr"/>
    </row>
    <row r="53">
      <c r="A53" t="inlineStr">
        <is>
          <t>Column bay</t>
        </is>
      </c>
      <c r="B53" s="2" t="n">
        <v>40</v>
      </c>
      <c r="C53" s="2" t="n">
        <v>40</v>
      </c>
      <c r="D53" t="inlineStr">
        <is>
          <t>ft</t>
        </is>
      </c>
      <c r="E53" t="inlineStr">
        <is>
          <t>estimated [L]</t>
        </is>
      </c>
      <c r="F53" t="inlineStr">
        <is>
          <t>Square bays</t>
        </is>
      </c>
    </row>
    <row r="54">
      <c r="A54" t="inlineStr">
        <is>
          <t>Spread footing plan dimension</t>
        </is>
      </c>
      <c r="B54" s="2" t="n">
        <v>8</v>
      </c>
      <c r="C54" s="2" t="n">
        <v>10</v>
      </c>
      <c r="D54" t="inlineStr">
        <is>
          <t>ft</t>
        </is>
      </c>
      <c r="E54" t="inlineStr">
        <is>
          <t>estimated [L]</t>
        </is>
      </c>
      <c r="F54" t="inlineStr">
        <is>
          <t>Square footings</t>
        </is>
      </c>
    </row>
    <row r="55">
      <c r="A55" t="inlineStr">
        <is>
          <t>Spread footing depth</t>
        </is>
      </c>
      <c r="B55" s="2" t="n">
        <v>2</v>
      </c>
      <c r="C55" s="2" t="n">
        <v>2.5</v>
      </c>
      <c r="D55" t="inlineStr">
        <is>
          <t>ft</t>
        </is>
      </c>
      <c r="E55" t="inlineStr">
        <is>
          <t>estimated [L]</t>
        </is>
      </c>
      <c r="F55" t="inlineStr"/>
    </row>
    <row r="56">
      <c r="A56" t="inlineStr">
        <is>
          <t>Perimeter grade beam width</t>
        </is>
      </c>
      <c r="B56" s="2" t="n">
        <v>2</v>
      </c>
      <c r="C56" s="2" t="n">
        <v>2.5</v>
      </c>
      <c r="D56" t="inlineStr">
        <is>
          <t>ft</t>
        </is>
      </c>
      <c r="E56" t="inlineStr">
        <is>
          <t>estimated [L]</t>
        </is>
      </c>
      <c r="F56" t="inlineStr"/>
    </row>
    <row r="57">
      <c r="A57" t="inlineStr">
        <is>
          <t>Perimeter grade beam depth</t>
        </is>
      </c>
      <c r="B57" s="2" t="n">
        <v>3</v>
      </c>
      <c r="C57" s="2" t="n">
        <v>3.5</v>
      </c>
      <c r="D57" t="inlineStr">
        <is>
          <t>ft</t>
        </is>
      </c>
      <c r="E57" t="inlineStr">
        <is>
          <t>estimated [L]</t>
        </is>
      </c>
      <c r="F57" t="inlineStr"/>
    </row>
    <row r="58">
      <c r="A58" t="inlineStr">
        <is>
          <t>Generator unit size</t>
        </is>
      </c>
      <c r="B58" s="2" t="n">
        <v>3</v>
      </c>
      <c r="C58" s="2" t="n">
        <v>2.5</v>
      </c>
      <c r="D58" t="inlineStr">
        <is>
          <t>MW</t>
        </is>
      </c>
      <c r="E58" t="inlineStr">
        <is>
          <t>estimated [L]</t>
        </is>
      </c>
      <c r="F58" t="inlineStr">
        <is>
          <t>Smaller units in the high case mean more pads</t>
        </is>
      </c>
    </row>
    <row r="59">
      <c r="A59" t="inlineStr">
        <is>
          <t>Generator redundancy factor</t>
        </is>
      </c>
      <c r="B59" s="2" t="n">
        <v>1.1</v>
      </c>
      <c r="C59" s="2" t="n">
        <v>1.25</v>
      </c>
      <c r="D59" t="inlineStr">
        <is>
          <t>factor</t>
        </is>
      </c>
      <c r="E59" t="inlineStr">
        <is>
          <t>estimated [L]</t>
        </is>
      </c>
      <c r="F59" t="inlineStr">
        <is>
          <t>N+1 to N+25%</t>
        </is>
      </c>
    </row>
    <row r="60">
      <c r="A60" t="inlineStr">
        <is>
          <t>Generator pad volume</t>
        </is>
      </c>
      <c r="B60" s="2" t="n">
        <v>480</v>
      </c>
      <c r="C60" s="2" t="n">
        <v>787.5</v>
      </c>
      <c r="D60" t="inlineStr">
        <is>
          <t>cf</t>
        </is>
      </c>
      <c r="E60" t="inlineStr">
        <is>
          <t>estimated [L]</t>
        </is>
      </c>
      <c r="F60" t="inlineStr">
        <is>
          <t>40x12x1 ft to 45x14x1.25 ft</t>
        </is>
      </c>
    </row>
    <row r="61">
      <c r="A61" t="inlineStr">
        <is>
          <t>Transformer / switchgear pads per generator</t>
        </is>
      </c>
      <c r="B61" s="2" t="n">
        <v>0.5</v>
      </c>
      <c r="C61" s="2" t="n">
        <v>0.6</v>
      </c>
      <c r="D61" t="inlineStr">
        <is>
          <t>count</t>
        </is>
      </c>
      <c r="E61" t="inlineStr">
        <is>
          <t>estimated [L]</t>
        </is>
      </c>
      <c r="F61" t="inlineStr"/>
    </row>
    <row r="62">
      <c r="A62" t="inlineStr">
        <is>
          <t>Transformer / switchgear pad volume</t>
        </is>
      </c>
      <c r="B62" s="2" t="n">
        <v>300</v>
      </c>
      <c r="C62" s="2" t="n">
        <v>562.5</v>
      </c>
      <c r="D62" t="inlineStr">
        <is>
          <t>cf</t>
        </is>
      </c>
      <c r="E62" t="inlineStr">
        <is>
          <t>estimated [L]</t>
        </is>
      </c>
      <c r="F62" t="inlineStr">
        <is>
          <t>20x15x1 ft to 25x18x1.25 ft</t>
        </is>
      </c>
    </row>
    <row r="63">
      <c r="A63" t="inlineStr">
        <is>
          <t>Mechanical equipment pads as a share of floor area</t>
        </is>
      </c>
      <c r="B63" s="2" t="n">
        <v>0.05</v>
      </c>
      <c r="C63" s="2" t="n">
        <v>0.08</v>
      </c>
      <c r="D63" t="inlineStr">
        <is>
          <t>share</t>
        </is>
      </c>
      <c r="E63" t="inlineStr">
        <is>
          <t>estimated [L]</t>
        </is>
      </c>
      <c r="F63" t="inlineStr">
        <is>
          <t>Chillers, coolers, fan walls on grade or roof</t>
        </is>
      </c>
    </row>
    <row r="64">
      <c r="A64" t="inlineStr">
        <is>
          <t>Mechanical pad thickness</t>
        </is>
      </c>
      <c r="B64" s="2" t="n">
        <v>8</v>
      </c>
      <c r="C64" s="2" t="n">
        <v>10</v>
      </c>
      <c r="D64" t="inlineStr">
        <is>
          <t>in</t>
        </is>
      </c>
      <c r="E64" t="inlineStr">
        <is>
          <t>estimated [L]</t>
        </is>
      </c>
      <c r="F64" t="inlineStr"/>
    </row>
    <row r="65">
      <c r="A65" t="inlineStr">
        <is>
          <t>Site paving, roads, yards, parking as a multiple of building footprint</t>
        </is>
      </c>
      <c r="B65" s="2" t="n">
        <v>0.8</v>
      </c>
      <c r="C65" s="2" t="n">
        <v>1.5</v>
      </c>
      <c r="D65" t="inlineStr">
        <is>
          <t>ratio</t>
        </is>
      </c>
      <c r="E65" t="inlineStr">
        <is>
          <t>estimated [L]</t>
        </is>
      </c>
      <c r="F65" t="inlineStr"/>
    </row>
    <row r="66">
      <c r="A66" t="inlineStr">
        <is>
          <t>Site paving thickness</t>
        </is>
      </c>
      <c r="B66" s="2" t="n">
        <v>6</v>
      </c>
      <c r="C66" s="2" t="n">
        <v>8</v>
      </c>
      <c r="D66" t="inlineStr">
        <is>
          <t>in</t>
        </is>
      </c>
      <c r="E66" t="inlineStr">
        <is>
          <t>estimated [L]</t>
        </is>
      </c>
      <c r="F66" t="inlineStr"/>
    </row>
    <row r="67">
      <c r="A67" t="inlineStr">
        <is>
          <t>Case 2: share of footprint over-excavated and replaced with lean concrete / CLSM</t>
        </is>
      </c>
      <c r="B67" s="2" t="n">
        <v>0.3</v>
      </c>
      <c r="C67" s="2" t="n">
        <v>0.6</v>
      </c>
      <c r="D67" t="inlineStr">
        <is>
          <t>share</t>
        </is>
      </c>
      <c r="E67" t="inlineStr">
        <is>
          <t>estimated [L]</t>
        </is>
      </c>
      <c r="F67" t="inlineStr"/>
    </row>
    <row r="68">
      <c r="A68" t="inlineStr">
        <is>
          <t>Case 2: lean concrete thickness</t>
        </is>
      </c>
      <c r="B68" s="2" t="n">
        <v>6</v>
      </c>
      <c r="C68" s="2" t="n">
        <v>12</v>
      </c>
      <c r="D68" t="inlineStr">
        <is>
          <t>in</t>
        </is>
      </c>
      <c r="E68" t="inlineStr">
        <is>
          <t>estimated [L]</t>
        </is>
      </c>
      <c r="F68" t="inlineStr"/>
    </row>
    <row r="69">
      <c r="A69" t="inlineStr">
        <is>
          <t>Case 2: enlargement of footings, grade beams and pads</t>
        </is>
      </c>
      <c r="B69" s="2" t="n">
        <v>0.3</v>
      </c>
      <c r="C69" s="2" t="n">
        <v>0.3</v>
      </c>
      <c r="D69" t="inlineStr">
        <is>
          <t>factor</t>
        </is>
      </c>
      <c r="E69" t="inlineStr">
        <is>
          <t>estimated [L]</t>
        </is>
      </c>
      <c r="F69" t="inlineStr"/>
    </row>
    <row r="70">
      <c r="A70" t="inlineStr">
        <is>
          <t>Case 3: piles or drilled piers per column</t>
        </is>
      </c>
      <c r="B70" s="2" t="n">
        <v>3</v>
      </c>
      <c r="C70" s="2" t="n">
        <v>4</v>
      </c>
      <c r="D70" t="inlineStr">
        <is>
          <t>count</t>
        </is>
      </c>
      <c r="E70" t="inlineStr">
        <is>
          <t>estimated [L]</t>
        </is>
      </c>
      <c r="F70" t="inlineStr"/>
    </row>
    <row r="71">
      <c r="A71" t="inlineStr">
        <is>
          <t>Case 3: pile diameter</t>
        </is>
      </c>
      <c r="B71" s="2" t="n">
        <v>1.5</v>
      </c>
      <c r="C71" s="2" t="n">
        <v>2</v>
      </c>
      <c r="D71" t="inlineStr">
        <is>
          <t>ft</t>
        </is>
      </c>
      <c r="E71" t="inlineStr">
        <is>
          <t>estimated [L]</t>
        </is>
      </c>
      <c r="F71" t="inlineStr"/>
    </row>
    <row r="72">
      <c r="A72" t="inlineStr">
        <is>
          <t>Case 3: pile length</t>
        </is>
      </c>
      <c r="B72" s="2" t="n">
        <v>40</v>
      </c>
      <c r="C72" s="2" t="n">
        <v>60</v>
      </c>
      <c r="D72" t="inlineStr">
        <is>
          <t>ft</t>
        </is>
      </c>
      <c r="E72" t="inlineStr">
        <is>
          <t>estimated [L]</t>
        </is>
      </c>
      <c r="F72" t="inlineStr"/>
    </row>
    <row r="73">
      <c r="A73" t="inlineStr">
        <is>
          <t>Case 3: pile cap volume per column (replaces the spread footing)</t>
        </is>
      </c>
      <c r="B73" s="2" t="n">
        <v>300</v>
      </c>
      <c r="C73" s="2" t="n">
        <v>504</v>
      </c>
      <c r="D73" t="inlineStr">
        <is>
          <t>cf</t>
        </is>
      </c>
      <c r="E73" t="inlineStr">
        <is>
          <t>estimated [L]</t>
        </is>
      </c>
      <c r="F73" t="inlineStr">
        <is>
          <t>10x10x3 ft to 12x12x3.5 ft</t>
        </is>
      </c>
    </row>
    <row r="74">
      <c r="A74" t="inlineStr">
        <is>
          <t>Case 3: pier spacing under grade beams</t>
        </is>
      </c>
      <c r="B74" s="2" t="n">
        <v>20</v>
      </c>
      <c r="C74" s="2" t="n">
        <v>15</v>
      </c>
      <c r="D74" t="inlineStr">
        <is>
          <t>ft</t>
        </is>
      </c>
      <c r="E74" t="inlineStr">
        <is>
          <t>estimated [L]</t>
        </is>
      </c>
      <c r="F74" t="inlineStr"/>
    </row>
    <row r="75">
      <c r="A75" t="inlineStr">
        <is>
          <t>Case 3: slab thickening to a structural slab</t>
        </is>
      </c>
      <c r="B75" s="2" t="n">
        <v>2</v>
      </c>
      <c r="C75" s="2" t="n">
        <v>4</v>
      </c>
      <c r="D75" t="inlineStr">
        <is>
          <t>in</t>
        </is>
      </c>
      <c r="E75" t="inlineStr">
        <is>
          <t>estimated [L]</t>
        </is>
      </c>
      <c r="F75" t="inlineStr"/>
    </row>
    <row r="76">
      <c r="A76" t="inlineStr">
        <is>
          <t>Substation / transformer yard mats per GW</t>
        </is>
      </c>
      <c r="B76" s="2" t="n">
        <v>10</v>
      </c>
      <c r="C76" s="2" t="n">
        <v>20</v>
      </c>
      <c r="D76" t="inlineStr">
        <is>
          <t>acres</t>
        </is>
      </c>
      <c r="E76" t="inlineStr">
        <is>
          <t>estimated [L]</t>
        </is>
      </c>
      <c r="F76" t="inlineStr"/>
    </row>
    <row r="77">
      <c r="A77" t="inlineStr">
        <is>
          <t>Yard mat thickness</t>
        </is>
      </c>
      <c r="B77" s="2" t="n">
        <v>18</v>
      </c>
      <c r="C77" s="2" t="n">
        <v>24</v>
      </c>
      <c r="D77" t="inlineStr">
        <is>
          <t>in</t>
        </is>
      </c>
      <c r="E77" t="inlineStr">
        <is>
          <t>estimated [L]</t>
        </is>
      </c>
      <c r="F77" t="inlineStr"/>
    </row>
    <row r="78">
      <c r="A78" t="inlineStr">
        <is>
          <t>Steel emissions, global average (BF-BOF)</t>
        </is>
      </c>
      <c r="B78" s="2" t="n">
        <v>1.8</v>
      </c>
      <c r="C78" s="2" t="n">
        <v>1.8</v>
      </c>
      <c r="D78" t="inlineStr">
        <is>
          <t>kg CO₂e/kg</t>
        </is>
      </c>
      <c r="E78" t="inlineStr">
        <is>
          <t>published-class [M]</t>
        </is>
      </c>
      <c r="F78" t="inlineStr"/>
    </row>
    <row r="79">
      <c r="A79" t="inlineStr">
        <is>
          <t>Steel emissions, recycled (EAF)</t>
        </is>
      </c>
      <c r="B79" s="2" t="n">
        <v>0.4</v>
      </c>
      <c r="C79" s="2" t="n">
        <v>0.7</v>
      </c>
      <c r="D79" t="inlineStr">
        <is>
          <t>kg CO₂e/kg</t>
        </is>
      </c>
      <c r="E79" t="inlineStr">
        <is>
          <t>industry range [M]</t>
        </is>
      </c>
      <c r="F79" t="inlineStr"/>
    </row>
    <row r="80">
      <c r="A80" t="inlineStr">
        <is>
          <t>SUPERWOOD manufacturing emissions</t>
        </is>
      </c>
      <c r="B80" s="2" t="n">
        <v>0.5</v>
      </c>
      <c r="C80" s="2" t="n">
        <v>0.5</v>
      </c>
      <c r="D80" t="inlineStr">
        <is>
          <t>kg CO₂e/kg</t>
        </is>
      </c>
      <c r="E80" t="inlineStr">
        <is>
          <t>internal, pre-LCA [L]</t>
        </is>
      </c>
      <c r="F80" t="inlineStr">
        <is>
          <t>Canva DCII deck; LCA under way, Prof. Ming Hu, Notre Dame</t>
        </is>
      </c>
    </row>
    <row r="81">
      <c r="A81" t="inlineStr">
        <is>
          <t>SUPERWOOD biogenic carbon stored</t>
        </is>
      </c>
      <c r="B81" s="2" t="n">
        <v>1.3</v>
      </c>
      <c r="C81" s="2" t="n">
        <v>1.3</v>
      </c>
      <c r="D81" t="inlineStr">
        <is>
          <t>kg CO₂e/kg</t>
        </is>
      </c>
      <c r="E81" t="inlineStr">
        <is>
          <t>internal, pre-LCA [L]</t>
        </is>
      </c>
      <c r="F81" t="inlineStr">
        <is>
          <t>Report separately; module C release under EN 15804</t>
        </is>
      </c>
    </row>
    <row r="82">
      <c r="A82" t="inlineStr">
        <is>
          <t>Interior finishes emissions (gypsum, wood, steel studs — mixed)</t>
        </is>
      </c>
      <c r="B82" s="2" t="n">
        <v>1</v>
      </c>
      <c r="C82" s="2" t="n">
        <v>1</v>
      </c>
      <c r="D82" t="inlineStr">
        <is>
          <t>kg CO₂e/kg</t>
        </is>
      </c>
      <c r="E82" t="inlineStr">
        <is>
          <t>estimated [L]</t>
        </is>
      </c>
      <c r="F82" t="inlineStr">
        <is>
          <t>Used only for the interior finishes row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  <col width="14" customWidth="1" min="24" max="24"/>
    <col width="18" customWidth="1" min="25" max="25"/>
    <col width="18" customWidth="1" min="26" max="26"/>
    <col width="14" customWidth="1" min="27" max="27"/>
    <col width="12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Component (building, then contents)</t>
        </is>
      </c>
      <c r="B1" s="1" t="inlineStr">
        <is>
          <t>Low  tons per data center</t>
        </is>
      </c>
      <c r="C1" s="1" t="inlineStr">
        <is>
          <t>High  tons per data center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  <c r="X1" s="1" t="inlineStr">
        <is>
          <t>Carbon factor (kg CO₂e/kg)</t>
        </is>
      </c>
      <c r="Y1" s="1" t="inlineStr">
        <is>
          <t>Low embodied carbon (t CO₂e)</t>
        </is>
      </c>
      <c r="Z1" s="1" t="inlineStr">
        <is>
          <t>High embodied carbon (t CO₂e)</t>
        </is>
      </c>
      <c r="AA1" s="1" t="inlineStr">
        <is>
          <t>EAF-basis factor (kg CO₂e/kg)</t>
        </is>
      </c>
      <c r="AB1" s="1" t="inlineStr">
        <is>
          <t>Material class</t>
        </is>
      </c>
      <c r="AC1" s="1" t="inlineStr">
        <is>
          <t>Steel share</t>
        </is>
      </c>
      <c r="AD1" s="1" t="inlineStr">
        <is>
          <t>Concrete share</t>
        </is>
      </c>
      <c r="AE1" s="1" t="inlineStr">
        <is>
          <t>Plastic share</t>
        </is>
      </c>
      <c r="AF1" s="1" t="inlineStr">
        <is>
          <t>Other share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IF(Inputs!$B$48=1,Foundations!B28,Inputs!$B$11*(1-Inputs!$B$33)*Inputs!$B$12*Inputs!$B$2)-B5</f>
        <v/>
      </c>
      <c r="C3" s="5">
        <f>IF(Inputs!$C$48=1,Foundations!C28,Inputs!$C$11*(1-Inputs!$C$33)*Inputs!$C$12*Inputs!$C$2)-C5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Inputs!$B$34</f>
        <v/>
      </c>
      <c r="J3" s="5">
        <f>B3*SUM($F3:$I3)</f>
        <v/>
      </c>
      <c r="K3" s="5">
        <f>C3*SUM($F3:$I3)</f>
        <v/>
      </c>
      <c r="L3" s="5">
        <f>J3*Inputs!$B$36</f>
        <v/>
      </c>
      <c r="M3" s="5">
        <f>K3*Inputs!$C$36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  <c r="X3" s="7">
        <f>AC3*Inputs!$B$78+AD3*Inputs!$B$38+AE3*Inputs!$B$39</f>
        <v/>
      </c>
      <c r="Y3" s="5">
        <f>B3*X3</f>
        <v/>
      </c>
      <c r="Z3" s="5">
        <f>C3*X3</f>
        <v/>
      </c>
      <c r="AA3" s="7">
        <f>AC3*Inputs!$C$79+AD3*Inputs!$B$38+AE3*Inputs!$B$39</f>
        <v/>
      </c>
      <c r="AB3" t="inlineStr">
        <is>
          <t>concrete</t>
        </is>
      </c>
      <c r="AC3" s="2" t="n">
        <v>0</v>
      </c>
      <c r="AD3" s="2" t="n">
        <v>1</v>
      </c>
      <c r="AE3" s="2" t="n">
        <v>0</v>
      </c>
      <c r="AF3" s="2" t="n">
        <v>0</v>
      </c>
    </row>
    <row r="4">
      <c r="A4" t="inlineStr">
        <is>
          <t>Concrete: foundations, footings, piers, equipment pads</t>
        </is>
      </c>
      <c r="B4" s="5">
        <f>IF(Inputs!$B$48=1,Foundations!B29,Inputs!$B$11*Inputs!$B$33*Inputs!$B$12*Inputs!$B$2)</f>
        <v/>
      </c>
      <c r="C4" s="5">
        <f>IF(Inputs!$C$48=1,Foundations!C29,Inputs!$C$11*Inputs!$C$33*Inputs!$C$12*Inputs!$C$2)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Inputs!$B$35</f>
        <v/>
      </c>
      <c r="J4" s="5">
        <f>B4*SUM($F4:$I4)</f>
        <v/>
      </c>
      <c r="K4" s="5">
        <f>C4*SUM($F4:$I4)</f>
        <v/>
      </c>
      <c r="L4" s="5">
        <f>J4*Inputs!$B$36</f>
        <v/>
      </c>
      <c r="M4" s="5">
        <f>K4*Inputs!$C$36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  <c r="X4" s="7">
        <f>AC4*Inputs!$B$78+AD4*Inputs!$B$38+AE4*Inputs!$B$39</f>
        <v/>
      </c>
      <c r="Y4" s="5">
        <f>B4*X4</f>
        <v/>
      </c>
      <c r="Z4" s="5">
        <f>C4*X4</f>
        <v/>
      </c>
      <c r="AA4" s="7">
        <f>AC4*Inputs!$C$79+AD4*Inputs!$B$38+AE4*Inputs!$B$39</f>
        <v/>
      </c>
      <c r="AB4" t="inlineStr">
        <is>
          <t>concrete</t>
        </is>
      </c>
      <c r="AC4" s="2" t="n">
        <v>0</v>
      </c>
      <c r="AD4" s="2" t="n">
        <v>1</v>
      </c>
      <c r="AE4" s="2" t="n">
        <v>0</v>
      </c>
      <c r="AF4" s="2" t="n">
        <v>0</v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SUM($F5:$I5)*Inputs!$B$13*Derived!B4*Inputs!$B$45/1000</f>
        <v/>
      </c>
      <c r="M5" s="5">
        <f>SUM($F5:$I5)*Inputs!$C$13*Derived!C4*Inputs!$C$45/1000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  <c r="X5" s="7">
        <f>AC5*Inputs!$B$78+AD5*Inputs!$B$38+AE5*Inputs!$B$39</f>
        <v/>
      </c>
      <c r="Y5" s="5">
        <f>B5*X5</f>
        <v/>
      </c>
      <c r="Z5" s="5">
        <f>C5*X5</f>
        <v/>
      </c>
      <c r="AA5" s="7">
        <f>AC5*Inputs!$C$79+AD5*Inputs!$B$38+AE5*Inputs!$B$39</f>
        <v/>
      </c>
      <c r="AB5" t="inlineStr">
        <is>
          <t>concrete</t>
        </is>
      </c>
      <c r="AC5" s="2" t="n">
        <v>0</v>
      </c>
      <c r="AD5" s="2" t="n">
        <v>1</v>
      </c>
      <c r="AE5" s="2" t="n">
        <v>0</v>
      </c>
      <c r="AF5" s="2" t="n">
        <v>0</v>
      </c>
    </row>
    <row r="6">
      <c r="A6" t="inlineStr">
        <is>
          <t>Rebar in all concrete</t>
        </is>
      </c>
      <c r="B6" s="5">
        <f>IF(Inputs!$B$48=1,Foundations!B26+Foundations!B27,Inputs!$B$11*Inputs!$B$2)*Inputs!$B$17/1000</f>
        <v/>
      </c>
      <c r="C6" s="5">
        <f>IF(Inputs!$C$48=1,Foundations!C26+Foundations!C27,Inputs!$C$11*Inputs!$C$2)*Inputs!$C$17/1000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Inputs!$B$33*Inputs!$B$35+(1-Inputs!$B$33)*Inputs!$B$34</f>
        <v/>
      </c>
      <c r="J6" s="5">
        <f>B6*SUM($F6:$I6)</f>
        <v/>
      </c>
      <c r="K6" s="5">
        <f>C6*SUM($F6:$I6)</f>
        <v/>
      </c>
      <c r="L6" s="5">
        <f>J6*Inputs!$B$44</f>
        <v/>
      </c>
      <c r="M6" s="5">
        <f>K6*Inputs!$C$44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  <c r="X6" s="7">
        <f>AC6*Inputs!$B$78+AD6*Inputs!$B$38+AE6*Inputs!$B$39</f>
        <v/>
      </c>
      <c r="Y6" s="5">
        <f>B6*X6</f>
        <v/>
      </c>
      <c r="Z6" s="5">
        <f>C6*X6</f>
        <v/>
      </c>
      <c r="AA6" s="7">
        <f>AC6*Inputs!$C$79+AD6*Inputs!$B$38+AE6*Inputs!$B$39</f>
        <v/>
      </c>
      <c r="AB6" t="inlineStr">
        <is>
          <t>steel</t>
        </is>
      </c>
      <c r="AC6" s="2" t="n">
        <v>1</v>
      </c>
      <c r="AD6" s="2" t="n">
        <v>0</v>
      </c>
      <c r="AE6" s="2" t="n">
        <v>0</v>
      </c>
      <c r="AF6" s="2" t="n">
        <v>0</v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J7*Inputs!$B$44</f>
        <v/>
      </c>
      <c r="M7" s="5">
        <f>K7*Inputs!$C$44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  <c r="X7" s="7">
        <f>AC7*Inputs!$B$78+AD7*Inputs!$B$38+AE7*Inputs!$B$39</f>
        <v/>
      </c>
      <c r="Y7" s="5">
        <f>B7*X7</f>
        <v/>
      </c>
      <c r="Z7" s="5">
        <f>C7*X7</f>
        <v/>
      </c>
      <c r="AA7" s="7">
        <f>AC7*Inputs!$C$79+AD7*Inputs!$B$38+AE7*Inputs!$B$39</f>
        <v/>
      </c>
      <c r="AB7" t="inlineStr">
        <is>
          <t>steel</t>
        </is>
      </c>
      <c r="AC7" s="2" t="n">
        <v>1</v>
      </c>
      <c r="AD7" s="2" t="n">
        <v>0</v>
      </c>
      <c r="AE7" s="2" t="n">
        <v>0</v>
      </c>
      <c r="AF7" s="2" t="n">
        <v>0</v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J8*Inputs!$B$44</f>
        <v/>
      </c>
      <c r="M8" s="5">
        <f>K8*Inputs!$C$44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  <c r="X8" s="7">
        <f>AC8*Inputs!$B$78+AD8*Inputs!$B$38+AE8*Inputs!$B$39</f>
        <v/>
      </c>
      <c r="Y8" s="5">
        <f>B8*X8</f>
        <v/>
      </c>
      <c r="Z8" s="5">
        <f>C8*X8</f>
        <v/>
      </c>
      <c r="AA8" s="7">
        <f>AC8*Inputs!$C$79+AD8*Inputs!$B$38+AE8*Inputs!$B$39</f>
        <v/>
      </c>
      <c r="AB8" t="inlineStr">
        <is>
          <t>steel</t>
        </is>
      </c>
      <c r="AC8" s="2" t="n">
        <v>1</v>
      </c>
      <c r="AD8" s="2" t="n">
        <v>0</v>
      </c>
      <c r="AE8" s="2" t="n">
        <v>0</v>
      </c>
      <c r="AF8" s="2" t="n">
        <v>0</v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  <c r="X9" s="7">
        <f>AC9*Inputs!$B$78+AD9*Inputs!$B$38+AE9*Inputs!$B$39</f>
        <v/>
      </c>
      <c r="Y9" s="5">
        <f>B9*X9</f>
        <v/>
      </c>
      <c r="Z9" s="5">
        <f>C9*X9</f>
        <v/>
      </c>
      <c r="AA9" s="7">
        <f>AC9*Inputs!$C$79+AD9*Inputs!$B$38+AE9*Inputs!$B$39</f>
        <v/>
      </c>
      <c r="AB9" t="inlineStr">
        <is>
          <t>steel</t>
        </is>
      </c>
      <c r="AC9" s="2" t="n">
        <v>0.65</v>
      </c>
      <c r="AD9" s="2" t="n">
        <v>0</v>
      </c>
      <c r="AE9" s="2" t="n">
        <v>0.3</v>
      </c>
      <c r="AF9" s="2" t="n">
        <v>0.05</v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  <c r="X10" s="7">
        <f>AC10*Inputs!$B$78+AD10*Inputs!$B$38+AE10*Inputs!$B$39</f>
        <v/>
      </c>
      <c r="Y10" s="5">
        <f>B10*X10</f>
        <v/>
      </c>
      <c r="Z10" s="5">
        <f>C10*X10</f>
        <v/>
      </c>
      <c r="AA10" s="7">
        <f>AC10*Inputs!$C$79+AD10*Inputs!$B$38+AE10*Inputs!$B$39</f>
        <v/>
      </c>
      <c r="AB10" t="inlineStr">
        <is>
          <t>steel</t>
        </is>
      </c>
      <c r="AC10" s="2" t="n">
        <v>1</v>
      </c>
      <c r="AD10" s="2" t="n">
        <v>0</v>
      </c>
      <c r="AE10" s="2" t="n">
        <v>0</v>
      </c>
      <c r="AF10" s="2" t="n">
        <v>0</v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  <c r="X11" s="7">
        <f>AC11*Inputs!$B$78+AD11*Inputs!$B$38+AE11*Inputs!$B$39</f>
        <v/>
      </c>
      <c r="Y11" s="5">
        <f>B11*X11</f>
        <v/>
      </c>
      <c r="Z11" s="5">
        <f>C11*X11</f>
        <v/>
      </c>
      <c r="AA11" s="7">
        <f>AC11*Inputs!$C$79+AD11*Inputs!$B$38+AE11*Inputs!$B$39</f>
        <v/>
      </c>
      <c r="AB11" t="inlineStr">
        <is>
          <t>steel</t>
        </is>
      </c>
      <c r="AC11" s="2" t="n">
        <v>1</v>
      </c>
      <c r="AD11" s="2" t="n">
        <v>0</v>
      </c>
      <c r="AE11" s="2" t="n">
        <v>0</v>
      </c>
      <c r="AF11" s="2" t="n">
        <v>0</v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8" t="n"/>
      <c r="Y12" s="4" t="n"/>
      <c r="Z12" s="4" t="n"/>
      <c r="AA12" s="8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J13*Inputs!$B$44</f>
        <v/>
      </c>
      <c r="M13" s="5">
        <f>K13*Inputs!$C$44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  <c r="X13" s="7">
        <f>AC13*Inputs!$B$78+AD13*Inputs!$B$38+AE13*Inputs!$B$39</f>
        <v/>
      </c>
      <c r="Y13" s="5">
        <f>B13*X13</f>
        <v/>
      </c>
      <c r="Z13" s="5">
        <f>C13*X13</f>
        <v/>
      </c>
      <c r="AA13" s="7">
        <f>AC13*Inputs!$C$79+AD13*Inputs!$B$38+AE13*Inputs!$B$39</f>
        <v/>
      </c>
      <c r="AB13" t="inlineStr">
        <is>
          <t>steel</t>
        </is>
      </c>
      <c r="AC13" s="2" t="n">
        <v>1</v>
      </c>
      <c r="AD13" s="2" t="n">
        <v>0</v>
      </c>
      <c r="AE13" s="2" t="n">
        <v>0</v>
      </c>
      <c r="AF13" s="2" t="n">
        <v>0</v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J14*Inputs!$B$44</f>
        <v/>
      </c>
      <c r="M14" s="5">
        <f>K14*Inputs!$C$44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  <c r="X14" s="7">
        <f>AC14*Inputs!$B$78+AD14*Inputs!$B$38+AE14*Inputs!$B$39</f>
        <v/>
      </c>
      <c r="Y14" s="5">
        <f>B14*X14</f>
        <v/>
      </c>
      <c r="Z14" s="5">
        <f>C14*X14</f>
        <v/>
      </c>
      <c r="AA14" s="7">
        <f>AC14*Inputs!$C$79+AD14*Inputs!$B$38+AE14*Inputs!$B$39</f>
        <v/>
      </c>
      <c r="AB14" t="inlineStr">
        <is>
          <t>steel</t>
        </is>
      </c>
      <c r="AC14" s="2" t="n">
        <v>0.7</v>
      </c>
      <c r="AD14" s="2" t="n">
        <v>0</v>
      </c>
      <c r="AE14" s="2" t="n">
        <v>0.05</v>
      </c>
      <c r="AF14" s="2" t="n">
        <v>0.25</v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J15*Inputs!$B$44</f>
        <v/>
      </c>
      <c r="M15" s="5">
        <f>K15*Inputs!$C$44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  <c r="X15" s="7">
        <f>AC15*Inputs!$B$78+AD15*Inputs!$B$38+AE15*Inputs!$B$39</f>
        <v/>
      </c>
      <c r="Y15" s="5">
        <f>B15*X15</f>
        <v/>
      </c>
      <c r="Z15" s="5">
        <f>C15*X15</f>
        <v/>
      </c>
      <c r="AA15" s="7">
        <f>AC15*Inputs!$C$79+AD15*Inputs!$B$38+AE15*Inputs!$B$39</f>
        <v/>
      </c>
      <c r="AB15" t="inlineStr">
        <is>
          <t>steel</t>
        </is>
      </c>
      <c r="AC15" s="2" t="n">
        <v>1</v>
      </c>
      <c r="AD15" s="2" t="n">
        <v>0</v>
      </c>
      <c r="AE15" s="2" t="n">
        <v>0</v>
      </c>
      <c r="AF15" s="2" t="n">
        <v>0</v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Inputs!$B$46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J16*Inputs!$B$44</f>
        <v/>
      </c>
      <c r="M16" s="5">
        <f>K16*Inputs!$C$44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  <c r="X16" s="7">
        <f>AC16*Inputs!$B$78+AD16*Inputs!$B$38+AE16*Inputs!$B$39</f>
        <v/>
      </c>
      <c r="Y16" s="5">
        <f>B16*X16</f>
        <v/>
      </c>
      <c r="Z16" s="5">
        <f>C16*X16</f>
        <v/>
      </c>
      <c r="AA16" s="7">
        <f>AC16*Inputs!$C$79+AD16*Inputs!$B$38+AE16*Inputs!$B$39</f>
        <v/>
      </c>
      <c r="AB16" t="inlineStr">
        <is>
          <t>steel</t>
        </is>
      </c>
      <c r="AC16" s="2" t="n">
        <v>1</v>
      </c>
      <c r="AD16" s="2" t="n">
        <v>0</v>
      </c>
      <c r="AE16" s="2" t="n">
        <v>0</v>
      </c>
      <c r="AF16" s="2" t="n">
        <v>0</v>
      </c>
    </row>
    <row r="17">
      <c r="A17" t="inlineStr">
        <is>
          <t>Ducting, plenums and air-distribution sheet metal</t>
        </is>
      </c>
      <c r="B17" s="5">
        <f>Inputs!$B$37*Inputs!$B$2</f>
        <v/>
      </c>
      <c r="C17" s="5">
        <f>Inputs!$C$37*Inputs!$C$2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J17*Inputs!$B$44</f>
        <v/>
      </c>
      <c r="M17" s="5">
        <f>K17*Inputs!$C$44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  <c r="X17" s="7">
        <f>AC17*Inputs!$B$78+AD17*Inputs!$B$38+AE17*Inputs!$B$39</f>
        <v/>
      </c>
      <c r="Y17" s="5">
        <f>B17*X17</f>
        <v/>
      </c>
      <c r="Z17" s="5">
        <f>C17*X17</f>
        <v/>
      </c>
      <c r="AA17" s="7">
        <f>AC17*Inputs!$C$79+AD17*Inputs!$B$38+AE17*Inputs!$B$39</f>
        <v/>
      </c>
      <c r="AB17" t="inlineStr">
        <is>
          <t>steel</t>
        </is>
      </c>
      <c r="AC17" s="2" t="n">
        <v>1</v>
      </c>
      <c r="AD17" s="2" t="n">
        <v>0</v>
      </c>
      <c r="AE17" s="2" t="n">
        <v>0</v>
      </c>
      <c r="AF17" s="2" t="n">
        <v>0</v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  <c r="X18" s="7">
        <f>AC18*Inputs!$B$78+AD18*Inputs!$B$38+AE18*Inputs!$B$39</f>
        <v/>
      </c>
      <c r="Y18" s="5">
        <f>B18*X18</f>
        <v/>
      </c>
      <c r="Z18" s="5">
        <f>C18*X18</f>
        <v/>
      </c>
      <c r="AA18" s="7">
        <f>AC18*Inputs!$C$79+AD18*Inputs!$B$38+AE18*Inputs!$B$39</f>
        <v/>
      </c>
      <c r="AB18" t="inlineStr">
        <is>
          <t>mixed</t>
        </is>
      </c>
      <c r="AC18" s="2" t="n">
        <v>0.3</v>
      </c>
      <c r="AD18" s="2" t="n">
        <v>0</v>
      </c>
      <c r="AE18" s="2" t="n">
        <v>0.1</v>
      </c>
      <c r="AF18" s="2" t="n">
        <v>0.6</v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  <c r="X19" s="7">
        <f>AC19*Inputs!$B$78+AD19*Inputs!$B$38+AE19*Inputs!$B$39</f>
        <v/>
      </c>
      <c r="Y19" s="5">
        <f>B19*X19</f>
        <v/>
      </c>
      <c r="Z19" s="5">
        <f>C19*X19</f>
        <v/>
      </c>
      <c r="AA19" s="7">
        <f>AC19*Inputs!$C$79+AD19*Inputs!$B$38+AE19*Inputs!$B$39</f>
        <v/>
      </c>
      <c r="AB19" t="inlineStr">
        <is>
          <t>equipment</t>
        </is>
      </c>
      <c r="AC19" s="2" t="n">
        <v>0.6</v>
      </c>
      <c r="AD19" s="2" t="n">
        <v>0</v>
      </c>
      <c r="AE19" s="2" t="n">
        <v>0.05</v>
      </c>
      <c r="AF19" s="2" t="n">
        <v>0.35</v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>
        <f>Inputs!$B$28</f>
        <v/>
      </c>
      <c r="I20" s="6">
        <f>Inputs!$B$29</f>
        <v/>
      </c>
      <c r="J20" s="5">
        <f>B20*SUM($F20:$I20)</f>
        <v/>
      </c>
      <c r="K20" s="5">
        <f>C20*SUM($F20:$I20)</f>
        <v/>
      </c>
      <c r="L20" s="5">
        <f>J20*Inputs!$B$44</f>
        <v/>
      </c>
      <c r="M20" s="5">
        <f>K20*Inputs!$C$44</f>
        <v/>
      </c>
      <c r="N20" t="inlineStr">
        <is>
          <t>Shells, casings and fan-wall frames medium term (Alex 2026-09-06); fan blades long term, needs investigation; compressors, pumps, tubes, piping and water stay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  <c r="X20" s="7">
        <f>AC20*Inputs!$B$78+AD20*Inputs!$B$38+AE20*Inputs!$B$39</f>
        <v/>
      </c>
      <c r="Y20" s="5">
        <f>B20*X20</f>
        <v/>
      </c>
      <c r="Z20" s="5">
        <f>C20*X20</f>
        <v/>
      </c>
      <c r="AA20" s="7">
        <f>AC20*Inputs!$C$79+AD20*Inputs!$B$38+AE20*Inputs!$B$39</f>
        <v/>
      </c>
      <c r="AB20" t="inlineStr">
        <is>
          <t>equipment</t>
        </is>
      </c>
      <c r="AC20" s="2" t="n">
        <v>0.5</v>
      </c>
      <c r="AD20" s="2" t="n">
        <v>0</v>
      </c>
      <c r="AE20" s="2" t="n">
        <v>0.05</v>
      </c>
      <c r="AF20" s="2" t="n">
        <v>0.45</v>
      </c>
    </row>
    <row r="21">
      <c r="A21" t="inlineStr">
        <is>
          <t>IT — servers and racks</t>
        </is>
      </c>
      <c r="B21" s="5">
        <f>Inputs!$B$30*Inputs!$B$2</f>
        <v/>
      </c>
      <c r="C21" s="5">
        <f>Inputs!$C$30*Inputs!$C$2</f>
        <v/>
      </c>
      <c r="D21" s="5">
        <f>D20+B21</f>
        <v/>
      </c>
      <c r="E21" s="5">
        <f>E20+C21</f>
        <v/>
      </c>
      <c r="F21" s="6" t="n">
        <v>0</v>
      </c>
      <c r="G21" s="6">
        <f>Inputs!$B$31</f>
        <v/>
      </c>
      <c r="H21" s="6" t="n">
        <v>0</v>
      </c>
      <c r="I21" s="6">
        <f>Inputs!$B$32</f>
        <v/>
      </c>
      <c r="J21" s="5">
        <f>B21*SUM($F21:$I21)</f>
        <v/>
      </c>
      <c r="K21" s="5">
        <f>C21*SUM($F21:$I21)</f>
        <v/>
      </c>
      <c r="L21" s="5">
        <f>J21*Inputs!$B$44</f>
        <v/>
      </c>
      <c r="M21" s="5">
        <f>K21*Inputs!$C$44</f>
        <v/>
      </c>
      <c r="N21" t="inlineStr">
        <is>
          <t>Rack cabinets soon (18% of IT mass), server enclosures long term (30%), per analyses/it-rack-material-stack.md; electronics never. Rack masses [H]; aggregate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  <c r="X21" s="7">
        <f>AC21*Inputs!$B$78+AD21*Inputs!$B$38+AE21*Inputs!$B$39</f>
        <v/>
      </c>
      <c r="Y21" s="5">
        <f>B21*X21</f>
        <v/>
      </c>
      <c r="Z21" s="5">
        <f>C21*X21</f>
        <v/>
      </c>
      <c r="AA21" s="7">
        <f>AC21*Inputs!$C$79+AD21*Inputs!$B$38+AE21*Inputs!$B$39</f>
        <v/>
      </c>
      <c r="AB21" t="inlineStr">
        <is>
          <t>equipment</t>
        </is>
      </c>
      <c r="AC21" s="2" t="n">
        <v>0.5</v>
      </c>
      <c r="AD21" s="2" t="n">
        <v>0</v>
      </c>
      <c r="AE21" s="2" t="n">
        <v>0.08</v>
      </c>
      <c r="AF21" s="2" t="n">
        <v>0.42</v>
      </c>
    </row>
    <row r="23">
      <c r="A23" s="3" t="inlineStr">
        <is>
          <t>SUMMARY — per data center</t>
        </is>
      </c>
    </row>
    <row r="24">
      <c r="A24" s="9" t="inlineStr">
        <is>
          <t>Total mass, building and contents (tons)</t>
        </is>
      </c>
      <c r="B24" s="10">
        <f>SUM(B3:B21)</f>
        <v/>
      </c>
      <c r="C24" s="10">
        <f>SUM(C3:C21)</f>
        <v/>
      </c>
    </row>
    <row r="25">
      <c r="A25" s="9" t="inlineStr">
        <is>
          <t>Total excluding concrete (tons)</t>
        </is>
      </c>
      <c r="B25" s="10">
        <f>B24-B3-B4-B5</f>
        <v/>
      </c>
      <c r="C25" s="10">
        <f>C24-C3-C4-C5</f>
        <v/>
      </c>
    </row>
    <row r="27">
      <c r="A27" s="9" t="inlineStr">
        <is>
          <t>Replaced by SUPERWOOD, by horizon</t>
        </is>
      </c>
    </row>
    <row r="28">
      <c r="A28" s="11" t="inlineStr">
        <is>
          <t>Immediate — incumbent mass replaced (tons)</t>
        </is>
      </c>
      <c r="B28" s="12">
        <f>SUMPRODUCT(B3:B21,F3:F21)</f>
        <v/>
      </c>
      <c r="C28" s="12">
        <f>SUMPRODUCT(C3:C21,F3:F21)</f>
        <v/>
      </c>
    </row>
    <row r="29">
      <c r="A29" s="11" t="inlineStr">
        <is>
          <t>Immediate — SUPERWOOD required (tons)</t>
        </is>
      </c>
      <c r="B29" s="12">
        <f>SUM(P3:P21)</f>
        <v/>
      </c>
      <c r="C29" s="12">
        <f>SUM(T3:T21)</f>
        <v/>
      </c>
    </row>
    <row r="30">
      <c r="A30" s="11" t="inlineStr">
        <is>
          <t>Immediate — SUPERWOOD required (sf)</t>
        </is>
      </c>
      <c r="B30" s="12">
        <f>B29*1000/Derived!B6</f>
        <v/>
      </c>
      <c r="C30" s="12">
        <f>C29*1000/Derived!C6</f>
        <v/>
      </c>
    </row>
    <row r="31">
      <c r="A31" s="11" t="inlineStr">
        <is>
          <t>Immediate — years of SuperMill One output</t>
        </is>
      </c>
      <c r="B31" s="13">
        <f>B29/Derived!B7</f>
        <v/>
      </c>
      <c r="C31" s="13">
        <f>C29/Derived!C7</f>
        <v/>
      </c>
    </row>
    <row r="33">
      <c r="A33" s="11" t="inlineStr">
        <is>
          <t>Soon — incumbent mass replaced (tons)</t>
        </is>
      </c>
      <c r="B33" s="12">
        <f>SUMPRODUCT(B3:B21,G3:G21)</f>
        <v/>
      </c>
      <c r="C33" s="12">
        <f>SUMPRODUCT(C3:C21,G3:G21)</f>
        <v/>
      </c>
    </row>
    <row r="34">
      <c r="A34" s="11" t="inlineStr">
        <is>
          <t>Soon — SUPERWOOD required (tons)</t>
        </is>
      </c>
      <c r="B34" s="12">
        <f>SUM(Q3:Q21)</f>
        <v/>
      </c>
      <c r="C34" s="12">
        <f>SUM(U3:U21)</f>
        <v/>
      </c>
    </row>
    <row r="35">
      <c r="A35" s="11" t="inlineStr">
        <is>
          <t>Soon — years of SuperMill Two output</t>
        </is>
      </c>
      <c r="B35" s="13">
        <f>B34/Derived!B8</f>
        <v/>
      </c>
      <c r="C35" s="13">
        <f>C34/Derived!C8</f>
        <v/>
      </c>
    </row>
    <row r="37">
      <c r="A37" s="11" t="inlineStr">
        <is>
          <t>Medium term — incumbent mass replaced (tons)</t>
        </is>
      </c>
      <c r="B37" s="12">
        <f>SUMPRODUCT(B3:B21,H3:H21)</f>
        <v/>
      </c>
      <c r="C37" s="12">
        <f>SUMPRODUCT(C3:C21,H3:H21)</f>
        <v/>
      </c>
    </row>
    <row r="38">
      <c r="A38" s="11" t="inlineStr">
        <is>
          <t>Medium term — SUPERWOOD required (tons)</t>
        </is>
      </c>
      <c r="B38" s="12">
        <f>SUM(R3:R21)</f>
        <v/>
      </c>
      <c r="C38" s="12">
        <f>SUM(V3:V21)</f>
        <v/>
      </c>
    </row>
    <row r="39">
      <c r="A39" s="11" t="inlineStr">
        <is>
          <t>Medium term — years of SuperMill Two output</t>
        </is>
      </c>
      <c r="B39" s="13">
        <f>B38/Derived!B8</f>
        <v/>
      </c>
      <c r="C39" s="13">
        <f>C38/Derived!C8</f>
        <v/>
      </c>
    </row>
    <row r="41">
      <c r="A41" s="11" t="inlineStr">
        <is>
          <t>Long term — incumbent mass replaced (tons)</t>
        </is>
      </c>
      <c r="B41" s="12">
        <f>SUMPRODUCT(B3:B21,I3:I21)</f>
        <v/>
      </c>
      <c r="C41" s="12">
        <f>SUMPRODUCT(C3:C21,I3:I21)</f>
        <v/>
      </c>
    </row>
    <row r="42">
      <c r="A42" s="11" t="inlineStr">
        <is>
          <t>Long term — SUPERWOOD required (tons)</t>
        </is>
      </c>
      <c r="B42" s="12">
        <f>SUM(S3:S21)</f>
        <v/>
      </c>
      <c r="C42" s="12">
        <f>SUM(W3:W21)</f>
        <v/>
      </c>
    </row>
    <row r="43">
      <c r="A43" s="11" t="inlineStr">
        <is>
          <t>Long term — years of SuperMill Two output</t>
        </is>
      </c>
      <c r="B43" s="13">
        <f>B42/Derived!B8</f>
        <v/>
      </c>
      <c r="C43" s="13">
        <f>C42/Derived!C8</f>
        <v/>
      </c>
    </row>
    <row r="45">
      <c r="A45" s="9" t="inlineStr">
        <is>
          <t>Cumulative incumbent mass replaced (tons)</t>
        </is>
      </c>
      <c r="B45" s="10">
        <f>SUM(J3:J21)</f>
        <v/>
      </c>
      <c r="C45" s="10">
        <f>SUM(K3:K21)</f>
        <v/>
      </c>
    </row>
    <row r="46">
      <c r="A46" s="9" t="inlineStr">
        <is>
          <t>Cumulative SUPERWOOD required (tons)</t>
        </is>
      </c>
      <c r="B46" s="10">
        <f>SUM(L3:L21)</f>
        <v/>
      </c>
      <c r="C46" s="10">
        <f>SUM(M3:M21)</f>
        <v/>
      </c>
    </row>
    <row r="47">
      <c r="A47" s="11" t="inlineStr">
        <is>
          <t>Cumulative years of SuperMill Two output</t>
        </is>
      </c>
      <c r="B47" s="13">
        <f>B46/Derived!B8</f>
        <v/>
      </c>
      <c r="C47" s="13">
        <f>C46/Derived!C8</f>
        <v/>
      </c>
    </row>
    <row r="48">
      <c r="A48" s="11" t="inlineStr">
        <is>
          <t>Share of total mass replaced</t>
        </is>
      </c>
      <c r="B48" s="14">
        <f>B45/B24</f>
        <v/>
      </c>
      <c r="C48" s="14">
        <f>C45/C24</f>
        <v/>
      </c>
    </row>
    <row r="49">
      <c r="A49" s="11" t="inlineStr">
        <is>
          <t>Share of ex-concrete mass replaced through the medium term (excludes foundations)</t>
        </is>
      </c>
      <c r="B49" s="14">
        <f>(B45-B41)/B25</f>
        <v/>
      </c>
      <c r="C49" s="14">
        <f>(C45-C41)/C25</f>
        <v/>
      </c>
    </row>
    <row r="50">
      <c r="A50" s="9" t="inlineStr">
        <is>
          <t>Not replaced by SUPERWOOD (tons)</t>
        </is>
      </c>
      <c r="B50" s="10">
        <f>B24-B45</f>
        <v/>
      </c>
      <c r="C50" s="10">
        <f>C24-C45</f>
        <v/>
      </c>
    </row>
    <row r="51">
      <c r="A51" s="11" t="inlineStr">
        <is>
          <t>Not replaced, share of total</t>
        </is>
      </c>
      <c r="B51" s="14">
        <f>B50/B24</f>
        <v/>
      </c>
      <c r="C51" s="14">
        <f>C50/C24</f>
        <v/>
      </c>
    </row>
    <row r="53">
      <c r="A53" s="3" t="inlineStr">
        <is>
          <t>EMBODIED CARBON — building materials (equipment not estimated)</t>
        </is>
      </c>
    </row>
    <row r="54">
      <c r="A54" s="9" t="inlineStr">
        <is>
          <t>Embodied carbon, building materials (t CO₂e)</t>
        </is>
      </c>
      <c r="B54" s="10">
        <f>SUM(Y3:Y21)</f>
        <v/>
      </c>
      <c r="C54" s="10">
        <f>SUM(Z3:Z21)</f>
        <v/>
      </c>
    </row>
    <row r="55">
      <c r="A55" s="11" t="inlineStr">
        <is>
          <t xml:space="preserve">  of which steel (t CO₂e)</t>
        </is>
      </c>
      <c r="B55" s="12">
        <f>SUMIF(AB3:AB21,"steel",Y3:Y21)</f>
        <v/>
      </c>
      <c r="C55" s="12">
        <f>SUMIF(AB3:AB21,"steel",Z3:Z21)</f>
        <v/>
      </c>
    </row>
    <row r="56">
      <c r="A56" s="11" t="inlineStr">
        <is>
          <t xml:space="preserve">  of which concrete (t CO₂e)</t>
        </is>
      </c>
      <c r="B56" s="12">
        <f>SUMIF(AB3:AB21,"concrete",Y3:Y21)</f>
        <v/>
      </c>
      <c r="C56" s="12">
        <f>SUMIF(AB3:AB21,"concrete",Z3:Z21)</f>
        <v/>
      </c>
    </row>
    <row r="57">
      <c r="A57" s="11" t="inlineStr">
        <is>
          <t>Steel share of building-materials carbon</t>
        </is>
      </c>
      <c r="B57" s="14">
        <f>B55/B54</f>
        <v/>
      </c>
      <c r="C57" s="14">
        <f>C55/C54</f>
        <v/>
      </c>
    </row>
    <row r="58">
      <c r="A58" s="11" t="inlineStr">
        <is>
          <t>Concrete share of building-materials carbon</t>
        </is>
      </c>
      <c r="B58" s="14">
        <f>B56/B54</f>
        <v/>
      </c>
      <c r="C58" s="14">
        <f>C56/C54</f>
        <v/>
      </c>
    </row>
    <row r="59">
      <c r="A59" s="11" t="inlineStr">
        <is>
          <t>Steel above the slab (steel excl. rebar), share of building-materials carbon</t>
        </is>
      </c>
      <c r="B59" s="14">
        <f>(B55-Y6)/B54</f>
        <v/>
      </c>
      <c r="C59" s="14">
        <f>(C55-Z6)/C54</f>
        <v/>
      </c>
    </row>
    <row r="60">
      <c r="A60" s="11" t="inlineStr">
        <is>
          <t>Steel share if steel is recycled (EAF factor, high end)</t>
        </is>
      </c>
      <c r="B60" s="14">
        <f>SUMPRODUCT(B3:B21,AA3:AA21,--(AB3:AB21="steel"))/SUMPRODUCT(B3:B21,AA3:AA21)</f>
        <v/>
      </c>
      <c r="C60" s="14">
        <f>SUMPRODUCT(C3:C21,AA3:AA21,--(AB3:AB21="steel"))/SUMPRODUCT(C3:C21,AA3:AA21)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5">
        <f>Inputs!$B$3*Inputs!$B$2/Inputs!$B$4</f>
        <v/>
      </c>
      <c r="C2" s="15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5">
        <f>B2*Inputs!$B$5</f>
        <v/>
      </c>
      <c r="C3" s="15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5">
        <f>B3*0.092903</f>
        <v/>
      </c>
      <c r="C4" s="15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5">
        <f>Inputs!$B$7*1000*Inputs!$B$8/0.092903</f>
        <v/>
      </c>
      <c r="C5" s="15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5">
        <f>Inputs!$B$40/1000*Inputs!$B$41*0.092903</f>
        <v/>
      </c>
      <c r="C6" s="15">
        <f>Inputs!$C$40/1000*Inputs!$C$41*0.092903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5">
        <f>Inputs!$B$42*B6/1000</f>
        <v/>
      </c>
      <c r="C7" s="15">
        <f>Inputs!$C$42*C6/1000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5">
        <f>Inputs!$B$43*B6/1000</f>
        <v/>
      </c>
      <c r="C8" s="15">
        <f>Inputs!$C$43*C6/1000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44" customWidth="1" min="4" max="4"/>
  </cols>
  <sheetData>
    <row r="1">
      <c r="A1" s="1" t="inlineStr">
        <is>
          <t>Element</t>
        </is>
      </c>
      <c r="B1" s="1" t="inlineStr">
        <is>
          <t>Low  m³</t>
        </is>
      </c>
      <c r="C1" s="1" t="inlineStr">
        <is>
          <t>High  m³</t>
        </is>
      </c>
      <c r="D1" s="1" t="inlineStr">
        <is>
          <t>Basis</t>
        </is>
      </c>
    </row>
    <row r="2">
      <c r="A2" t="inlineStr">
        <is>
          <t>Building floor area, sf</t>
        </is>
      </c>
      <c r="B2" s="5">
        <f>Inputs!$B$3*Inputs!$B$2</f>
        <v/>
      </c>
      <c r="C2" s="5">
        <f>Inputs!$C$3*Inputs!$C$2</f>
        <v/>
      </c>
      <c r="D2" t="inlineStr">
        <is>
          <t>from Inputs</t>
        </is>
      </c>
    </row>
    <row r="3">
      <c r="A3" t="inlineStr">
        <is>
          <t>Total hall perimeter, ft</t>
        </is>
      </c>
      <c r="B3" s="5">
        <f>Derived!B2*4*SQRT(Inputs!$B$4)</f>
        <v/>
      </c>
      <c r="C3" s="5">
        <f>Derived!C2*4*SQRT(Inputs!$C$4)</f>
        <v/>
      </c>
      <c r="D3" t="inlineStr">
        <is>
          <t>buildings x 4 sides</t>
        </is>
      </c>
    </row>
    <row r="4">
      <c r="A4" t="inlineStr">
        <is>
          <t>Columns</t>
        </is>
      </c>
      <c r="B4" s="5">
        <f>B2/(Inputs!$B$53^2)</f>
        <v/>
      </c>
      <c r="C4" s="5">
        <f>C2/(Inputs!$C$53^2)</f>
        <v/>
      </c>
      <c r="D4" t="inlineStr">
        <is>
          <t>one per bay</t>
        </is>
      </c>
    </row>
    <row r="5">
      <c r="A5" t="inlineStr">
        <is>
          <t>Hall slab on grade</t>
        </is>
      </c>
      <c r="B5" s="5">
        <f>B2*Inputs!$B$50/12*0.0283168</f>
        <v/>
      </c>
      <c r="C5" s="5">
        <f>C2*Inputs!$C$50/12*0.0283168</f>
        <v/>
      </c>
      <c r="D5" t="inlineStr">
        <is>
          <t>6–8 in over the floor</t>
        </is>
      </c>
    </row>
    <row r="6">
      <c r="A6" t="inlineStr">
        <is>
          <t>Thickened slab zones</t>
        </is>
      </c>
      <c r="B6" s="5">
        <f>B2*Inputs!$B$51*(Inputs!$B$52-Inputs!$B$50)/12*0.0283168</f>
        <v/>
      </c>
      <c r="C6" s="5">
        <f>C2*Inputs!$C$51*(Inputs!$C$52-Inputs!$C$50)/12*0.0283168</f>
        <v/>
      </c>
      <c r="D6" t="inlineStr">
        <is>
          <t>extra depth over 15–25% of the floor</t>
        </is>
      </c>
    </row>
    <row r="7">
      <c r="A7" t="inlineStr">
        <is>
          <t>Column footings</t>
        </is>
      </c>
      <c r="B7" s="5">
        <f>B4*Inputs!$B$54^2*Inputs!$B$55*0.0283168</f>
        <v/>
      </c>
      <c r="C7" s="5">
        <f>C4*Inputs!$C$54^2*Inputs!$C$55*0.0283168</f>
        <v/>
      </c>
      <c r="D7" t="inlineStr">
        <is>
          <t>spread footings, good soils</t>
        </is>
      </c>
    </row>
    <row r="8">
      <c r="A8" t="inlineStr">
        <is>
          <t>Perimeter grade beams</t>
        </is>
      </c>
      <c r="B8" s="5">
        <f>B3*Inputs!$B$56*Inputs!$B$57*0.0283168</f>
        <v/>
      </c>
      <c r="C8" s="5">
        <f>C3*Inputs!$C$56*Inputs!$C$57*0.0283168</f>
        <v/>
      </c>
      <c r="D8" t="inlineStr"/>
    </row>
    <row r="9">
      <c r="A9" t="inlineStr">
        <is>
          <t>Generators</t>
        </is>
      </c>
      <c r="B9" s="5">
        <f>Inputs!$B$2/Inputs!$B$58*Inputs!$B$59</f>
        <v/>
      </c>
      <c r="C9" s="5">
        <f>Inputs!$C$2/Inputs!$C$58*Inputs!$C$59</f>
        <v/>
      </c>
      <c r="D9" t="inlineStr">
        <is>
          <t>units incl. redundancy</t>
        </is>
      </c>
    </row>
    <row r="10">
      <c r="A10" t="inlineStr">
        <is>
          <t>Generator pads</t>
        </is>
      </c>
      <c r="B10" s="5">
        <f>B9*Inputs!$B$60*0.0283168</f>
        <v/>
      </c>
      <c r="C10" s="5">
        <f>C9*Inputs!$C$60*0.0283168</f>
        <v/>
      </c>
      <c r="D10" t="inlineStr"/>
    </row>
    <row r="11">
      <c r="A11" t="inlineStr">
        <is>
          <t>Transformer and switchgear pads</t>
        </is>
      </c>
      <c r="B11" s="5">
        <f>B9*Inputs!$B$61*Inputs!$B$62*0.0283168</f>
        <v/>
      </c>
      <c r="C11" s="5">
        <f>C9*Inputs!$C$61*Inputs!$C$62*0.0283168</f>
        <v/>
      </c>
      <c r="D11" t="inlineStr"/>
    </row>
    <row r="12">
      <c r="A12" t="inlineStr">
        <is>
          <t>Mechanical equipment pads</t>
        </is>
      </c>
      <c r="B12" s="5">
        <f>B2*Inputs!$B$63*Inputs!$B$64/12*0.0283168</f>
        <v/>
      </c>
      <c r="C12" s="5">
        <f>C2*Inputs!$C$63*Inputs!$C$64/12*0.0283168</f>
        <v/>
      </c>
      <c r="D12" t="inlineStr"/>
    </row>
    <row r="13">
      <c r="A13" s="9" t="inlineStr">
        <is>
          <t>Case 1 good soils — building and pads</t>
        </is>
      </c>
      <c r="B13" s="5">
        <f>B5+B6+B7+B8+B10+B11+B12</f>
        <v/>
      </c>
      <c r="C13" s="5">
        <f>C5+C6+C7+C8+C10+C11+C12</f>
        <v/>
      </c>
      <c r="D13" t="inlineStr">
        <is>
          <t>sum</t>
        </is>
      </c>
    </row>
    <row r="14">
      <c r="A14" t="inlineStr">
        <is>
          <t>Case 2 — lean concrete / CLSM under footprint</t>
        </is>
      </c>
      <c r="B14" s="5">
        <f>B2*Inputs!$B$67*Inputs!$B$68/12*0.0283168</f>
        <v/>
      </c>
      <c r="C14" s="5">
        <f>C2*Inputs!$C$67*Inputs!$C$68/12*0.0283168</f>
        <v/>
      </c>
      <c r="D14" t="inlineStr"/>
    </row>
    <row r="15">
      <c r="A15" t="inlineStr">
        <is>
          <t>Case 2 — larger footings, grade beams and pads</t>
        </is>
      </c>
      <c r="B15" s="5">
        <f>(B7+B8+B10+B11+B12)*Inputs!$B$69</f>
        <v/>
      </c>
      <c r="C15" s="5">
        <f>(C7+C8+C10+C11+C12)*Inputs!$C$69</f>
        <v/>
      </c>
      <c r="D15" t="inlineStr"/>
    </row>
    <row r="16">
      <c r="A16" s="9" t="inlineStr">
        <is>
          <t>Case 2 moderate soils — allowance</t>
        </is>
      </c>
      <c r="B16" s="5">
        <f>B14+B15</f>
        <v/>
      </c>
      <c r="C16" s="5">
        <f>C14+C15</f>
        <v/>
      </c>
      <c r="D16" t="inlineStr">
        <is>
          <t>added to case 1</t>
        </is>
      </c>
    </row>
    <row r="17">
      <c r="A17" t="inlineStr">
        <is>
          <t>Case 3 — piles or drilled piers under columns</t>
        </is>
      </c>
      <c r="B17" s="5">
        <f>B4*Inputs!$B$70*PI()*(Inputs!$B$71/2)^2*Inputs!$B$72*0.0283168</f>
        <v/>
      </c>
      <c r="C17" s="5">
        <f>C4*Inputs!$C$70*PI()*(Inputs!$C$71/2)^2*Inputs!$C$72*0.0283168</f>
        <v/>
      </c>
      <c r="D17" t="inlineStr"/>
    </row>
    <row r="18">
      <c r="A18" t="inlineStr">
        <is>
          <t>Case 3 — pile caps net of spread footings</t>
        </is>
      </c>
      <c r="B18" s="5">
        <f>B4*Inputs!$B$73*0.0283168-B7</f>
        <v/>
      </c>
      <c r="C18" s="5">
        <f>C4*Inputs!$C$73*0.0283168-C7</f>
        <v/>
      </c>
      <c r="D18" t="inlineStr"/>
    </row>
    <row r="19">
      <c r="A19" t="inlineStr">
        <is>
          <t>Case 3 — piers under grade beams</t>
        </is>
      </c>
      <c r="B19" s="5">
        <f>B3/Inputs!$B$74*PI()*(Inputs!$B$71/2)^2*Inputs!$B$72*0.0283168</f>
        <v/>
      </c>
      <c r="C19" s="5">
        <f>C3/Inputs!$C$74*PI()*(Inputs!$C$71/2)^2*Inputs!$C$72*0.0283168</f>
        <v/>
      </c>
      <c r="D19" t="inlineStr"/>
    </row>
    <row r="20">
      <c r="A20" t="inlineStr">
        <is>
          <t>Case 3 — structural slab thickening</t>
        </is>
      </c>
      <c r="B20" s="5">
        <f>B2*Inputs!$B$75/12*0.0283168</f>
        <v/>
      </c>
      <c r="C20" s="5">
        <f>C2*Inputs!$C$75/12*0.0283168</f>
        <v/>
      </c>
      <c r="D20" t="inlineStr"/>
    </row>
    <row r="21">
      <c r="A21" s="9" t="inlineStr">
        <is>
          <t>Case 3 poor soils — allowance</t>
        </is>
      </c>
      <c r="B21" s="5">
        <f>B17+B18+B19+B20</f>
        <v/>
      </c>
      <c r="C21" s="5">
        <f>C17+C18+C19+C20</f>
        <v/>
      </c>
      <c r="D21" t="inlineStr">
        <is>
          <t>added to case 1</t>
        </is>
      </c>
    </row>
    <row r="22">
      <c r="A22" t="inlineStr">
        <is>
          <t>Selected soil allowance</t>
        </is>
      </c>
      <c r="B22" s="5">
        <f>CHOOSE(Inputs!$B$49,0,B16,B21)</f>
        <v/>
      </c>
      <c r="C22" s="5">
        <f>CHOOSE(Inputs!$C$49,0,C16,C21)</f>
        <v/>
      </c>
      <c r="D22" t="inlineStr">
        <is>
          <t>Inputs soil_case</t>
        </is>
      </c>
    </row>
    <row r="23">
      <c r="A23" t="inlineStr">
        <is>
          <t>Site paving, roads, yards, parking</t>
        </is>
      </c>
      <c r="B23" s="5">
        <f>B2*Inputs!$B$65*Inputs!$B$66/12*0.0283168</f>
        <v/>
      </c>
      <c r="C23" s="5">
        <f>C2*Inputs!$C$65*Inputs!$C$66/12*0.0283168</f>
        <v/>
      </c>
      <c r="D23" t="inlineStr"/>
    </row>
    <row r="24">
      <c r="A24" t="inlineStr">
        <is>
          <t>Substation / transformer yard mats</t>
        </is>
      </c>
      <c r="B24" s="5">
        <f>Inputs!$B$76*Inputs!$B$2/1000*43560*Inputs!$B$77/12*0.0283168</f>
        <v/>
      </c>
      <c r="C24" s="5">
        <f>Inputs!$C$76*Inputs!$C$2/1000*43560*Inputs!$C$77/12*0.0283168</f>
        <v/>
      </c>
      <c r="D24" t="inlineStr"/>
    </row>
    <row r="25">
      <c r="A25" s="9" t="inlineStr">
        <is>
          <t>All-in with site work, selected soil case</t>
        </is>
      </c>
      <c r="B25" s="5">
        <f>B13+B22+B23+B24</f>
        <v/>
      </c>
      <c r="C25" s="5">
        <f>C13+C22+C23+C24</f>
        <v/>
      </c>
      <c r="D25" t="inlineStr">
        <is>
          <t>sum</t>
        </is>
      </c>
    </row>
    <row r="26">
      <c r="A26" t="inlineStr">
        <is>
          <t>Slab and paving, footprint basis (m³)</t>
        </is>
      </c>
      <c r="B26" s="5">
        <f>B5+B6+B23+IF(Inputs!$B$49=3,B20,0)</f>
        <v/>
      </c>
      <c r="C26" s="5">
        <f>C5+C6+C23+IF(Inputs!$C$49=3,C20,0)</f>
        <v/>
      </c>
      <c r="D26" t="inlineStr">
        <is>
          <t>feeds the main sheet when concrete_basis = 1</t>
        </is>
      </c>
    </row>
    <row r="27">
      <c r="A27" t="inlineStr">
        <is>
          <t>Foundations, footings and pads, footprint basis (m³)</t>
        </is>
      </c>
      <c r="B27" s="5">
        <f>B7+B8+B10+B11+B12+B24+IF(Inputs!$B$49=2,B16,IF(Inputs!$B$49=3,B17+B18+B19,0))</f>
        <v/>
      </c>
      <c r="C27" s="5">
        <f>C7+C8+C10+C11+C12+C24+IF(Inputs!$C$49=2,C16,IF(Inputs!$C$49=3,C17+C18+C19,0))</f>
        <v/>
      </c>
      <c r="D27" t="inlineStr">
        <is>
          <t>feeds the main sheet when concrete_basis = 1</t>
        </is>
      </c>
    </row>
    <row r="28">
      <c r="A28" s="9" t="inlineStr">
        <is>
          <t>Slab and paving, footprint basis (t)</t>
        </is>
      </c>
      <c r="B28" s="5">
        <f>B26*Inputs!$B$12</f>
        <v/>
      </c>
      <c r="C28" s="5">
        <f>C26*Inputs!$C$12</f>
        <v/>
      </c>
      <c r="D28" t="inlineStr"/>
    </row>
    <row r="29">
      <c r="A29" s="9" t="inlineStr">
        <is>
          <t>Foundations, footings and pads, footprint basis (t)</t>
        </is>
      </c>
      <c r="B29" s="5">
        <f>B27*Inputs!$B$12</f>
        <v/>
      </c>
      <c r="C29" s="5">
        <f>C27*Inputs!$C$12</f>
        <v/>
      </c>
      <c r="D29" t="inlineStr"/>
    </row>
    <row r="30">
      <c r="A30" t="inlineStr">
        <is>
          <t>Per-MW basis for comparison (m³)</t>
        </is>
      </c>
      <c r="B30" s="5">
        <f>Inputs!$B$11*Inputs!$B$2</f>
        <v/>
      </c>
      <c r="C30" s="5">
        <f>Inputs!$C$11*Inputs!$C$2</f>
        <v/>
      </c>
      <c r="D30" t="inlineStr">
        <is>
          <t>published, secondary</t>
        </is>
      </c>
    </row>
    <row r="32">
      <c r="A32" t="inlineStr">
        <is>
          <t>Wall system: tilt-up versus insulated metal panel is the Inputs walls_precast switch (precast row on the main sheet, steel-share sheet reports both). Soil cases and the concrete basis switch are Inputs soil_case and concrete_basis. All element inputs are estimates [L]; see foundation-bottom-up.md.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SUMPRODUCT('1 GW data center'!B3:B21,'1 GW data center'!F3:F21,'1 GW data center'!X3:X21)</f>
        <v/>
      </c>
      <c r="C2" s="4">
        <f>SUMPRODUCT('1 GW data center'!C3:C21,'1 GW data center'!F3:F21,'1 GW data center'!X3:X21)</f>
        <v/>
      </c>
      <c r="D2" s="4">
        <f>'1 GW data center'!B29*Inputs!$B$80</f>
        <v/>
      </c>
      <c r="E2" s="4">
        <f>'1 GW data center'!C29*Inputs!$C$80</f>
        <v/>
      </c>
      <c r="F2" s="4">
        <f>B2-D2</f>
        <v/>
      </c>
      <c r="G2" s="4">
        <f>C2-E2</f>
        <v/>
      </c>
      <c r="H2" s="4">
        <f>SUMPRODUCT('1 GW data center'!B3:B21,'1 GW data center'!F3:F21,'1 GW data center'!AA3:AA21)-D2</f>
        <v/>
      </c>
      <c r="I2" s="4">
        <f>SUMPRODUCT('1 GW data center'!C3:C21,'1 GW data center'!F3:F21,'1 GW data center'!AA3:AA21)-E2</f>
        <v/>
      </c>
      <c r="J2" s="4">
        <f>'1 GW data center'!B29*Inputs!$B$81</f>
        <v/>
      </c>
      <c r="K2" s="4">
        <f>'1 GW data center'!C29*Inputs!$C$81</f>
        <v/>
      </c>
    </row>
    <row r="3">
      <c r="A3" t="inlineStr">
        <is>
          <t>Soon (steel)</t>
        </is>
      </c>
      <c r="B3" s="4">
        <f>SUMPRODUCT('1 GW data center'!B3:B21,'1 GW data center'!G3:G21,'1 GW data center'!X3:X21)</f>
        <v/>
      </c>
      <c r="C3" s="4">
        <f>SUMPRODUCT('1 GW data center'!C3:C21,'1 GW data center'!G3:G21,'1 GW data center'!X3:X21)</f>
        <v/>
      </c>
      <c r="D3" s="4">
        <f>'1 GW data center'!B34*Inputs!$B$80</f>
        <v/>
      </c>
      <c r="E3" s="4">
        <f>'1 GW data center'!C34*Inputs!$C$80</f>
        <v/>
      </c>
      <c r="F3" s="4">
        <f>B3-D3</f>
        <v/>
      </c>
      <c r="G3" s="4">
        <f>C3-E3</f>
        <v/>
      </c>
      <c r="H3" s="4">
        <f>SUMPRODUCT('1 GW data center'!B3:B21,'1 GW data center'!G3:G21,'1 GW data center'!AA3:AA21)-D3</f>
        <v/>
      </c>
      <c r="I3" s="4">
        <f>SUMPRODUCT('1 GW data center'!C3:C21,'1 GW data center'!G3:G21,'1 GW data center'!AA3:AA21)-E3</f>
        <v/>
      </c>
      <c r="J3" s="4">
        <f>'1 GW data center'!B34*Inputs!$B$81</f>
        <v/>
      </c>
      <c r="K3" s="4">
        <f>'1 GW data center'!C34*Inputs!$C$81</f>
        <v/>
      </c>
    </row>
    <row r="4">
      <c r="A4" t="inlineStr">
        <is>
          <t>Medium term (steel)</t>
        </is>
      </c>
      <c r="B4" s="4">
        <f>SUMPRODUCT('1 GW data center'!B3:B21,'1 GW data center'!H3:H21,'1 GW data center'!X3:X21)</f>
        <v/>
      </c>
      <c r="C4" s="4">
        <f>SUMPRODUCT('1 GW data center'!C3:C21,'1 GW data center'!H3:H21,'1 GW data center'!X3:X21)</f>
        <v/>
      </c>
      <c r="D4" s="4">
        <f>'1 GW data center'!B38*Inputs!$B$80</f>
        <v/>
      </c>
      <c r="E4" s="4">
        <f>'1 GW data center'!C38*Inputs!$C$80</f>
        <v/>
      </c>
      <c r="F4" s="4">
        <f>B4-D4</f>
        <v/>
      </c>
      <c r="G4" s="4">
        <f>C4-E4</f>
        <v/>
      </c>
      <c r="H4" s="4">
        <f>SUMPRODUCT('1 GW data center'!B3:B21,'1 GW data center'!H3:H21,'1 GW data center'!AA3:AA21)-D4</f>
        <v/>
      </c>
      <c r="I4" s="4">
        <f>SUMPRODUCT('1 GW data center'!C3:C21,'1 GW data center'!H3:H21,'1 GW data center'!AA3:AA21)-E4</f>
        <v/>
      </c>
      <c r="J4" s="4">
        <f>'1 GW data center'!B38*Inputs!$B$81</f>
        <v/>
      </c>
      <c r="K4" s="4">
        <f>'1 GW data center'!C38*Inputs!$C$81</f>
        <v/>
      </c>
    </row>
    <row r="5">
      <c r="A5" t="inlineStr">
        <is>
          <t>Long term (concrete, rebar, server enclosures)</t>
        </is>
      </c>
      <c r="B5" s="4">
        <f>SUMPRODUCT('1 GW data center'!B3:B21,'1 GW data center'!I3:I21,'1 GW data center'!X3:X21)</f>
        <v/>
      </c>
      <c r="C5" s="4">
        <f>SUMPRODUCT('1 GW data center'!C3:C21,'1 GW data center'!I3:I21,'1 GW data center'!X3:X21)</f>
        <v/>
      </c>
      <c r="D5" s="4">
        <f>'1 GW data center'!B42*Inputs!$B$80</f>
        <v/>
      </c>
      <c r="E5" s="4">
        <f>'1 GW data center'!C42*Inputs!$C$80</f>
        <v/>
      </c>
      <c r="F5" s="4">
        <f>B5-D5</f>
        <v/>
      </c>
      <c r="G5" s="4">
        <f>C5-E5</f>
        <v/>
      </c>
      <c r="H5" s="4">
        <f>SUMPRODUCT('1 GW data center'!B3:B21,'1 GW data center'!I3:I21,'1 GW data center'!AA3:AA21)-D5</f>
        <v/>
      </c>
      <c r="I5" s="4">
        <f>SUMPRODUCT('1 GW data center'!C3:C21,'1 GW data center'!I3:I21,'1 GW data center'!AA3:AA21)-E5</f>
        <v/>
      </c>
      <c r="J5" s="4">
        <f>'1 GW data center'!B42*Inputs!$B$81</f>
        <v/>
      </c>
      <c r="K5" s="4">
        <f>'1 GW data center'!C42*Inputs!$C$81</f>
        <v/>
      </c>
    </row>
    <row r="7">
      <c r="A7" t="inlineStr">
        <is>
          <t>Pre-LCA projections (LCA under way with Prof. Ming Hu, University of Notre Dame). Each row is valued at its own factor (column X on the main sheet): concrete rows at co2_conc, steel rows including rebar at co2_steel, interior finishes at co2_mixed; equipment rows (including the long-term server enclosures) carry no factor, so the long-term row counts concrete and rebar only. The EAF column revalues steel rows at the recycled-steel factor (high end). Equipment rows carry no factor. Biogenic storage reported separately (EN 15804 module 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  <col width="64" customWidth="1" min="8" max="8"/>
  </cols>
  <sheetData>
    <row r="1">
      <c r="A1" s="1" t="inlineStr">
        <is>
          <t>Above-ground component (contents included)</t>
        </is>
      </c>
      <c r="B1" s="1" t="inlineStr">
        <is>
          <t>Low tons</t>
        </is>
      </c>
      <c r="C1" s="1" t="inlineStr">
        <is>
          <t>High tons</t>
        </is>
      </c>
      <c r="D1" s="1" t="inlineStr">
        <is>
          <t>Steel fraction — low</t>
        </is>
      </c>
      <c r="E1" s="1" t="inlineStr">
        <is>
          <t>Steel fraction — high</t>
        </is>
      </c>
      <c r="F1" s="1" t="inlineStr">
        <is>
          <t>Low steel tons</t>
        </is>
      </c>
      <c r="G1" s="1" t="inlineStr">
        <is>
          <t>High steel tons</t>
        </is>
      </c>
      <c r="H1" s="1" t="inlineStr">
        <is>
          <t>Basis for the fraction</t>
        </is>
      </c>
    </row>
    <row r="2">
      <c r="A2" t="inlineStr">
        <is>
          <t>Precast / tilt-up perimeter walls (precast case)</t>
        </is>
      </c>
      <c r="B2" s="5">
        <f>'1 GW data center'!B5</f>
        <v/>
      </c>
      <c r="C2" s="5">
        <f>'1 GW data center'!C5</f>
        <v/>
      </c>
      <c r="D2" s="6" t="n">
        <v>0.03</v>
      </c>
      <c r="E2" s="6" t="n">
        <v>0.05</v>
      </c>
      <c r="F2" s="5">
        <f>B2*D2</f>
        <v/>
      </c>
      <c r="G2" s="5">
        <f>C2*E2</f>
        <v/>
      </c>
      <c r="H2" t="inlineStr">
        <is>
          <t>rebar in precast/tilt-up panels; row is zero unless Inputs walls_precast = 1</t>
        </is>
      </c>
    </row>
    <row r="3">
      <c r="A3" t="inlineStr">
        <is>
          <t>Structural steel — primary frame (columns, girders)</t>
        </is>
      </c>
      <c r="B3" s="5">
        <f>'1 GW data center'!B7</f>
        <v/>
      </c>
      <c r="C3" s="5">
        <f>'1 GW data center'!C7</f>
        <v/>
      </c>
      <c r="D3" s="6" t="n">
        <v>1</v>
      </c>
      <c r="E3" s="6" t="n">
        <v>1</v>
      </c>
      <c r="F3" s="5">
        <f>B3*D3</f>
        <v/>
      </c>
      <c r="G3" s="5">
        <f>C3*E3</f>
        <v/>
      </c>
      <c r="H3" t="inlineStr">
        <is>
          <t>steel by definition</t>
        </is>
      </c>
    </row>
    <row r="4">
      <c r="A4" t="inlineStr">
        <is>
          <t>Structural steel — roof trusses, joists, roof deck, girts</t>
        </is>
      </c>
      <c r="B4" s="5">
        <f>'1 GW data center'!B8</f>
        <v/>
      </c>
      <c r="C4" s="5">
        <f>'1 GW data center'!C8</f>
        <v/>
      </c>
      <c r="D4" s="6" t="n">
        <v>1</v>
      </c>
      <c r="E4" s="6" t="n">
        <v>1</v>
      </c>
      <c r="F4" s="5">
        <f>B4*D4</f>
        <v/>
      </c>
      <c r="G4" s="5">
        <f>C4*E4</f>
        <v/>
      </c>
      <c r="H4" t="inlineStr">
        <is>
          <t>steel by definition</t>
        </is>
      </c>
    </row>
    <row r="5">
      <c r="A5" t="inlineStr">
        <is>
          <t>Exterior skins — metal panel / IMP (metal-panel case)</t>
        </is>
      </c>
      <c r="B5" s="5">
        <f>'1 GW data center'!B9</f>
        <v/>
      </c>
      <c r="C5" s="5">
        <f>'1 GW data center'!C9</f>
        <v/>
      </c>
      <c r="D5" s="6" t="n">
        <v>0.85</v>
      </c>
      <c r="E5" s="6" t="n">
        <v>0.95</v>
      </c>
      <c r="F5" s="5">
        <f>B5*D5</f>
        <v/>
      </c>
      <c r="G5" s="5">
        <f>C5*E5</f>
        <v/>
      </c>
      <c r="H5" t="inlineStr">
        <is>
          <t>steel-faced IMP; some aluminum</t>
        </is>
      </c>
    </row>
    <row r="6">
      <c r="A6" t="inlineStr">
        <is>
          <t>Louvers and yard / mechanical screens</t>
        </is>
      </c>
      <c r="B6" s="5">
        <f>'1 GW data center'!B10</f>
        <v/>
      </c>
      <c r="C6" s="5">
        <f>'1 GW data center'!C10</f>
        <v/>
      </c>
      <c r="D6" s="6" t="n">
        <v>0.4</v>
      </c>
      <c r="E6" s="6" t="n">
        <v>0.7</v>
      </c>
      <c r="F6" s="5">
        <f>B6*D6</f>
        <v/>
      </c>
      <c r="G6" s="5">
        <f>C6*E6</f>
        <v/>
      </c>
      <c r="H6" t="inlineStr">
        <is>
          <t>aluminum common</t>
        </is>
      </c>
    </row>
    <row r="7">
      <c r="A7" t="inlineStr">
        <is>
          <t>Security and staff-area fencing</t>
        </is>
      </c>
      <c r="B7" s="5">
        <f>'1 GW data center'!B11</f>
        <v/>
      </c>
      <c r="C7" s="5">
        <f>'1 GW data center'!C11</f>
        <v/>
      </c>
      <c r="D7" s="6" t="n">
        <v>0.9</v>
      </c>
      <c r="E7" s="6" t="n">
        <v>1</v>
      </c>
      <c r="F7" s="5">
        <f>B7*D7</f>
        <v/>
      </c>
      <c r="G7" s="5">
        <f>C7*E7</f>
        <v/>
      </c>
      <c r="H7" t="inlineStr">
        <is>
          <t>chain-link, palisade, posts</t>
        </is>
      </c>
    </row>
    <row r="8">
      <c r="A8" t="inlineStr">
        <is>
          <t>Platforms, walkways, mezzanines, railings, tray supports</t>
        </is>
      </c>
      <c r="B8" s="5">
        <f>'1 GW data center'!B13</f>
        <v/>
      </c>
      <c r="C8" s="5">
        <f>'1 GW data center'!C13</f>
        <v/>
      </c>
      <c r="D8" s="6" t="n">
        <v>0.95</v>
      </c>
      <c r="E8" s="6" t="n">
        <v>1</v>
      </c>
      <c r="F8" s="5">
        <f>B8*D8</f>
        <v/>
      </c>
      <c r="G8" s="5">
        <f>C8*E8</f>
        <v/>
      </c>
      <c r="H8" t="inlineStr">
        <is>
          <t>structural and misc. steel</t>
        </is>
      </c>
    </row>
    <row r="9">
      <c r="A9" t="inlineStr">
        <is>
          <t>Acoustic barriers, enclosures, HVAC separations</t>
        </is>
      </c>
      <c r="B9" s="5">
        <f>'1 GW data center'!B14</f>
        <v/>
      </c>
      <c r="C9" s="5">
        <f>'1 GW data center'!C14</f>
        <v/>
      </c>
      <c r="D9" s="6" t="n">
        <v>0.7</v>
      </c>
      <c r="E9" s="6" t="n">
        <v>0.9</v>
      </c>
      <c r="F9" s="5">
        <f>B9*D9</f>
        <v/>
      </c>
      <c r="G9" s="5">
        <f>C9*E9</f>
        <v/>
      </c>
      <c r="H9" t="inlineStr">
        <is>
          <t>steel panels with absorptive fill</t>
        </is>
      </c>
    </row>
    <row r="10">
      <c r="A10" t="inlineStr">
        <is>
          <t>Racking and equipment supports</t>
        </is>
      </c>
      <c r="B10" s="5">
        <f>'1 GW data center'!B15</f>
        <v/>
      </c>
      <c r="C10" s="5">
        <f>'1 GW data center'!C15</f>
        <v/>
      </c>
      <c r="D10" s="6" t="n">
        <v>0.95</v>
      </c>
      <c r="E10" s="6" t="n">
        <v>1</v>
      </c>
      <c r="F10" s="5">
        <f>B10*D10</f>
        <v/>
      </c>
      <c r="G10" s="5">
        <f>C10*E10</f>
        <v/>
      </c>
      <c r="H10" t="inlineStr">
        <is>
          <t>steel</t>
        </is>
      </c>
    </row>
    <row r="11">
      <c r="A11" t="inlineStr">
        <is>
          <t>Other tray, containment, doors, misc. metals</t>
        </is>
      </c>
      <c r="B11" s="5">
        <f>'1 GW data center'!B16</f>
        <v/>
      </c>
      <c r="C11" s="5">
        <f>'1 GW data center'!C16</f>
        <v/>
      </c>
      <c r="D11" s="6" t="n">
        <v>0.85</v>
      </c>
      <c r="E11" s="6" t="n">
        <v>0.95</v>
      </c>
      <c r="F11" s="5">
        <f>B11*D11</f>
        <v/>
      </c>
      <c r="G11" s="5">
        <f>C11*E11</f>
        <v/>
      </c>
      <c r="H11" t="inlineStr">
        <is>
          <t>mostly steel, some aluminum</t>
        </is>
      </c>
    </row>
    <row r="12">
      <c r="A12" t="inlineStr">
        <is>
          <t>Ducting, plenums and air-distribution sheet metal</t>
        </is>
      </c>
      <c r="B12" s="5">
        <f>'1 GW data center'!B17</f>
        <v/>
      </c>
      <c r="C12" s="5">
        <f>'1 GW data center'!C17</f>
        <v/>
      </c>
      <c r="D12" s="6" t="n">
        <v>0.95</v>
      </c>
      <c r="E12" s="6" t="n">
        <v>1</v>
      </c>
      <c r="F12" s="5">
        <f>B12*D12</f>
        <v/>
      </c>
      <c r="G12" s="5">
        <f>C12*E12</f>
        <v/>
      </c>
      <c r="H12" t="inlineStr">
        <is>
          <t>galvanized steel</t>
        </is>
      </c>
    </row>
    <row r="13">
      <c r="A13" t="inlineStr">
        <is>
          <t>Interior finishes, backplanes, trim (admin / office)</t>
        </is>
      </c>
      <c r="B13" s="5">
        <f>'1 GW data center'!B18</f>
        <v/>
      </c>
      <c r="C13" s="5">
        <f>'1 GW data center'!C18</f>
        <v/>
      </c>
      <c r="D13" s="6" t="n">
        <v>0.2</v>
      </c>
      <c r="E13" s="6" t="n">
        <v>0.4</v>
      </c>
      <c r="F13" s="5">
        <f>B13*D13</f>
        <v/>
      </c>
      <c r="G13" s="5">
        <f>C13*E13</f>
        <v/>
      </c>
      <c r="H13" t="inlineStr">
        <is>
          <t>gypsum, wood, steel studs</t>
        </is>
      </c>
    </row>
    <row r="14">
      <c r="A14" t="inlineStr">
        <is>
          <t>Electrical equipment and conductors</t>
        </is>
      </c>
      <c r="B14" s="5">
        <f>'1 GW data center'!B19</f>
        <v/>
      </c>
      <c r="C14" s="5">
        <f>'1 GW data center'!C19</f>
        <v/>
      </c>
      <c r="D14" s="6" t="n">
        <v>0.5</v>
      </c>
      <c r="E14" s="6" t="n">
        <v>0.65</v>
      </c>
      <c r="F14" s="5">
        <f>B14*D14</f>
        <v/>
      </c>
      <c r="G14" s="5">
        <f>C14*E14</f>
        <v/>
      </c>
      <c r="H14" t="inlineStr">
        <is>
          <t>enclosures, cores, gensets, switchgear; rest copper, oil, batteries</t>
        </is>
      </c>
    </row>
    <row r="15">
      <c r="A15" t="inlineStr">
        <is>
          <t>Mechanical equipment, piping, loop water</t>
        </is>
      </c>
      <c r="B15" s="5">
        <f>'1 GW data center'!B20</f>
        <v/>
      </c>
      <c r="C15" s="5">
        <f>'1 GW data center'!C20</f>
        <v/>
      </c>
      <c r="D15" s="6" t="n">
        <v>0.45</v>
      </c>
      <c r="E15" s="6" t="n">
        <v>0.65</v>
      </c>
      <c r="F15" s="5">
        <f>B15*D15</f>
        <v/>
      </c>
      <c r="G15" s="5">
        <f>C15*E15</f>
        <v/>
      </c>
      <c r="H15" t="inlineStr">
        <is>
          <t>chillers, piping steel; water, copper, refrigerant not</t>
        </is>
      </c>
    </row>
    <row r="16">
      <c r="A16" t="inlineStr">
        <is>
          <t>IT — servers and racks</t>
        </is>
      </c>
      <c r="B16" s="5">
        <f>'1 GW data center'!B21</f>
        <v/>
      </c>
      <c r="C16" s="5">
        <f>'1 GW data center'!C21</f>
        <v/>
      </c>
      <c r="D16" s="6" t="n">
        <v>0.4</v>
      </c>
      <c r="E16" s="6" t="n">
        <v>0.6</v>
      </c>
      <c r="F16" s="5">
        <f>B16*D16</f>
        <v/>
      </c>
      <c r="G16" s="5">
        <f>C16*E16</f>
        <v/>
      </c>
      <c r="H16" t="inlineStr">
        <is>
          <t>steel chassis and racks; aluminum, PCBs, copper</t>
        </is>
      </c>
    </row>
    <row r="18">
      <c r="A18" s="9" t="inlineStr">
        <is>
          <t>Above-ground mass, contents included (tons)</t>
        </is>
      </c>
      <c r="B18" s="4">
        <f>SUM(B2:B16)</f>
        <v/>
      </c>
      <c r="C18" s="4">
        <f>SUM(C2:C16)</f>
        <v/>
      </c>
      <c r="F18" s="4" t="n"/>
      <c r="G18" s="4" t="n"/>
    </row>
    <row r="19">
      <c r="A19" s="9" t="inlineStr">
        <is>
          <t>Steel in it (tons)</t>
        </is>
      </c>
      <c r="B19" s="4">
        <f>SUM(F2:F16)</f>
        <v/>
      </c>
      <c r="C19" s="4">
        <f>SUM(G2:G16)</f>
        <v/>
      </c>
      <c r="F19" s="4" t="n"/>
      <c r="G19" s="4" t="n"/>
    </row>
    <row r="20">
      <c r="A20" s="9" t="inlineStr">
        <is>
          <t>Steel share of above-ground mass</t>
        </is>
      </c>
      <c r="B20" s="16">
        <f>B19/B18</f>
        <v/>
      </c>
      <c r="C20" s="16">
        <f>C19/C18</f>
        <v/>
      </c>
    </row>
    <row r="21">
      <c r="A21" s="9" t="inlineStr">
        <is>
          <t>Steel share including slab rebar (at-grade steel)</t>
        </is>
      </c>
      <c r="B21" s="16">
        <f>(B19+'1 GW data center'!B6)/(B18+'1 GW data center'!B6)</f>
        <v/>
      </c>
      <c r="C21" s="16">
        <f>(C19+'1 GW data center'!C6)/(C18+'1 GW data center'!C6)</f>
        <v/>
      </c>
    </row>
    <row r="22">
      <c r="A22" s="9" t="inlineStr">
        <is>
          <t>Structure and envelope only (first five rows)</t>
        </is>
      </c>
      <c r="B22" s="16">
        <f>SUM(F2:F7)/SUM(B2:B7)</f>
        <v/>
      </c>
      <c r="C22" s="16">
        <f>SUM(G2:G7)/SUM(C2:C7)</f>
        <v/>
      </c>
    </row>
    <row r="24">
      <c r="A24" s="3" t="inlineStr">
        <is>
          <t>WALL SYSTEM CASES (independent of the Inputs toggle)</t>
        </is>
      </c>
    </row>
    <row r="25">
      <c r="A25" t="inlineStr">
        <is>
          <t>Tilt-up / precast wall mass if chosen (tons)</t>
        </is>
      </c>
      <c r="B25" s="17">
        <f>Derived!B4*Inputs!$B$14*Inputs!$B$12</f>
        <v/>
      </c>
      <c r="C25" s="17">
        <f>Derived!C4*Inputs!$C$14*Inputs!$C$12</f>
        <v/>
      </c>
    </row>
    <row r="26">
      <c r="A26" t="inlineStr">
        <is>
          <t>Metal-panel skin mass if chosen (tons)</t>
        </is>
      </c>
      <c r="B26" s="17">
        <f>Derived!B4*Inputs!$B$19/1000</f>
        <v/>
      </c>
      <c r="C26" s="17">
        <f>Derived!C4*Inputs!$C$19/1000</f>
        <v/>
      </c>
    </row>
    <row r="27">
      <c r="A27" s="9" t="inlineStr">
        <is>
          <t>Steel share — metal-panel walls</t>
        </is>
      </c>
      <c r="B27" s="16">
        <f>(B19-F2-F5+B26*D5)/(B18-B2-B5+B26)</f>
        <v/>
      </c>
      <c r="C27" s="16">
        <f>(C19-F2-F5+C26*E5)/(C18-C2-C5+C26)</f>
        <v/>
      </c>
    </row>
    <row r="28">
      <c r="A28" s="9" t="inlineStr">
        <is>
          <t>Steel share — tilt-up / precast concrete walls</t>
        </is>
      </c>
      <c r="B28" s="16">
        <f>(B19-F2-F5+B25*D2)/(B18-B2-B5+B25)</f>
        <v/>
      </c>
      <c r="C28" s="16">
        <f>(C19-G2-G5+C25*E2)/(C18-C2-C5+C25)</f>
        <v/>
      </c>
    </row>
    <row r="30">
      <c r="A30" t="inlineStr">
        <is>
          <t>Excludes slab on grade, paving and foundations. The wall system matters: the main block follows Inputs walls_precast (0 = metal panel, 1 = tilt-up/precast); the two case rows above force each wall system regardless of the toggle. Steel fractions per component are estimates [conf: L] (yellow cells). Printed band on the deck: 50–80% (Alex, 2026-09-04), covering both wall systems.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2026-09-06T15:16:51Z</dcterms:created>
  <dcterms:modified xmlns:dcterms="http://purl.org/dc/terms/" xmlns:xsi="http://www.w3.org/2001/XMLSchema-instance" xsi:type="dcterms:W3CDTF">2026-09-06T15:16:51Z</dcterms:modified>
</cp:coreProperties>
</file>