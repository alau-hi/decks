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tonnes per campus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per campus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53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 build-up and replacement model (2026-09-01, v2)</t>
        </is>
      </c>
    </row>
    <row r="2">
      <c r="A2" t="inlineStr"/>
    </row>
    <row r="3">
      <c r="A3" t="inlineStr">
        <is>
          <t>Reference unit: 1 GW IT-load campus.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campus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campus)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Campus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all concrete that is foundations, footings, piers and equipment pads</t>
        </is>
      </c>
      <c r="B29" s="2" t="n">
        <v>0.4</v>
      </c>
      <c r="C29" s="2" t="n">
        <v>0.5</v>
      </c>
      <c r="D29" t="inlineStr">
        <is>
          <t>share</t>
        </is>
      </c>
      <c r="E29" t="inlineStr">
        <is>
          <t>estimated [L]</t>
        </is>
      </c>
      <c r="F29" t="inlineStr">
        <is>
          <t>Remainder is slab on grade, paving and yard</t>
        </is>
      </c>
    </row>
    <row r="30">
      <c r="A30" t="inlineStr">
        <is>
          <t>Long-term technical potential: share of slab-on-grade and paving concrete replaceable</t>
        </is>
      </c>
      <c r="B30" s="2" t="n">
        <v>0.75</v>
      </c>
      <c r="C30" s="2" t="n">
        <v>0.75</v>
      </c>
      <c r="D30" t="inlineStr">
        <is>
          <t>share</t>
        </is>
      </c>
      <c r="E30" t="inlineStr">
        <is>
          <t>asserted-internal (Alex, 2026-09-01) [L]</t>
        </is>
      </c>
      <c r="F30" t="inlineStr">
        <is>
          <t>Technical potential, not a plan; no design or code pathway yet</t>
        </is>
      </c>
    </row>
    <row r="31">
      <c r="A31" t="inlineStr">
        <is>
          <t>Long-term technical potential: share of foundations, footings, piers and pads replaceable</t>
        </is>
      </c>
      <c r="B31" s="2" t="n">
        <v>0.9</v>
      </c>
      <c r="C31" s="2" t="n">
        <v>0.9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</t>
        </is>
      </c>
    </row>
    <row r="32">
      <c r="A32" t="inlineStr">
        <is>
          <t>kg SUPERWOOD per kg of concrete replaced</t>
        </is>
      </c>
      <c r="B32" s="2" t="n">
        <v>0.05</v>
      </c>
      <c r="C32" s="2" t="n">
        <v>0.15</v>
      </c>
      <c r="D32" t="inlineStr">
        <is>
          <t>kg/kg</t>
        </is>
      </c>
      <c r="E32" t="inlineStr">
        <is>
          <t>estimated [L]</t>
        </is>
      </c>
      <c r="F32" t="inlineStr">
        <is>
          <t>Lightweight insulated wood-foundation concept; no design exists yet</t>
        </is>
      </c>
    </row>
    <row r="33">
      <c r="A33" t="inlineStr">
        <is>
          <t>Ducting, plenums and air-distribution sheet metal</t>
        </is>
      </c>
      <c r="B33" s="2" t="n">
        <v>3</v>
      </c>
      <c r="C33" s="2" t="n">
        <v>8</v>
      </c>
      <c r="D33" t="inlineStr">
        <is>
          <t>t/MW</t>
        </is>
      </c>
      <c r="E33" t="inlineStr">
        <is>
          <t>estimated [L]</t>
        </is>
      </c>
      <c r="F33" t="inlineStr">
        <is>
          <t>Separate from the mechanical-equipment row</t>
        </is>
      </c>
    </row>
    <row r="34">
      <c r="A34" t="inlineStr">
        <is>
          <t>Concrete emissions</t>
        </is>
      </c>
      <c r="B34" s="2" t="n">
        <v>0.12</v>
      </c>
      <c r="C34" s="2" t="n">
        <v>0.12</v>
      </c>
      <c r="D34" t="inlineStr">
        <is>
          <t>kg CO₂e/kg</t>
        </is>
      </c>
      <c r="E34" t="inlineStr">
        <is>
          <t>industry range [M]</t>
        </is>
      </c>
      <c r="F34" t="inlineStr">
        <is>
          <t>Ready-mix, cradle to gate; typical 0.10–0.15</t>
        </is>
      </c>
    </row>
    <row r="35">
      <c r="A35" t="inlineStr">
        <is>
          <t>SUPERWOOD average board thickness</t>
        </is>
      </c>
      <c r="B35" s="2" t="n">
        <v>7.2</v>
      </c>
      <c r="C35" s="2" t="n">
        <v>7.2</v>
      </c>
      <c r="D35" t="inlineStr">
        <is>
          <t>mm</t>
        </is>
      </c>
      <c r="E35" t="inlineStr">
        <is>
          <t>internal TEM basis [H]</t>
        </is>
      </c>
      <c r="F35" t="inlineStr"/>
    </row>
    <row r="36">
      <c r="A36" t="inlineStr">
        <is>
          <t>SUPERWOOD density</t>
        </is>
      </c>
      <c r="B36" s="2" t="n">
        <v>1300</v>
      </c>
      <c r="C36" s="2" t="n">
        <v>1300</v>
      </c>
      <c r="D36" t="inlineStr">
        <is>
          <t>kg/m³</t>
        </is>
      </c>
      <c r="E36" t="inlineStr">
        <is>
          <t>internal TEM [H]</t>
        </is>
      </c>
      <c r="F36" t="inlineStr"/>
    </row>
    <row r="37">
      <c r="A37" t="inlineStr">
        <is>
          <t>SuperMill One output</t>
        </is>
      </c>
      <c r="B37" s="2" t="n">
        <v>1000000</v>
      </c>
      <c r="C37" s="2" t="n">
        <v>1000000</v>
      </c>
      <c r="D37" t="inlineStr">
        <is>
          <t>sf/yr</t>
        </is>
      </c>
      <c r="E37" t="inlineStr">
        <is>
          <t>internal [H]</t>
        </is>
      </c>
      <c r="F37" t="inlineStr"/>
    </row>
    <row r="38">
      <c r="A38" t="inlineStr">
        <is>
          <t>SuperMill Two output</t>
        </is>
      </c>
      <c r="B38" s="2" t="n">
        <v>36000000</v>
      </c>
      <c r="C38" s="2" t="n">
        <v>36000000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Structural substitution: kg SUPERWOOD per kg steel replaced</t>
        </is>
      </c>
      <c r="B39" s="2" t="n">
        <v>0.3</v>
      </c>
      <c r="C39" s="2" t="n">
        <v>0.6</v>
      </c>
      <c r="D39" t="inlineStr">
        <is>
          <t>kg/kg</t>
        </is>
      </c>
      <c r="E39" t="inlineStr">
        <is>
          <t>estimated [L]</t>
        </is>
      </c>
      <c r="F39" t="inlineStr">
        <is>
          <t>Engineering-stamped per element (Fast + Epp) before external use</t>
        </is>
      </c>
    </row>
    <row r="40">
      <c r="A40" t="inlineStr">
        <is>
          <t>SUPERWOOD in a hybrid wall panel replacing precast</t>
        </is>
      </c>
      <c r="B40" s="2" t="n">
        <v>20</v>
      </c>
      <c r="C40" s="2" t="n">
        <v>40</v>
      </c>
      <c r="D40" t="inlineStr">
        <is>
          <t>kg/m²</t>
        </is>
      </c>
      <c r="E40" t="inlineStr">
        <is>
          <t>estimated [L]</t>
        </is>
      </c>
      <c r="F40" t="inlineStr">
        <is>
          <t>Panel design unsettled</t>
        </is>
      </c>
    </row>
    <row r="41">
      <c r="A41" t="inlineStr">
        <is>
          <t>Addressable share of other tray / containment / doors (medium term)</t>
        </is>
      </c>
      <c r="B41" s="2" t="n">
        <v>0.5</v>
      </c>
      <c r="C41" s="2" t="n">
        <v>0.5</v>
      </c>
      <c r="D41" t="inlineStr">
        <is>
          <t>share</t>
        </is>
      </c>
      <c r="E41" t="inlineStr">
        <is>
          <t>estimated [L]</t>
        </is>
      </c>
      <c r="F41" t="inlineStr"/>
    </row>
    <row r="42">
      <c r="A42" t="inlineStr">
        <is>
          <t>Count rebar as addressable in the long term? (0/1)</t>
        </is>
      </c>
      <c r="B42" s="2" t="n">
        <v>0</v>
      </c>
      <c r="C42" s="2" t="n">
        <v>0</v>
      </c>
      <c r="D42" t="inlineStr">
        <is>
          <t>flag</t>
        </is>
      </c>
      <c r="E42" t="inlineStr">
        <is>
          <t>choice</t>
        </is>
      </c>
      <c r="F42" t="inlineStr">
        <is>
          <t>Rebar is a frontier market with no pathway; off by default</t>
        </is>
      </c>
    </row>
    <row r="43">
      <c r="A43" t="inlineStr">
        <is>
          <t>Steel emissions, global average (BF-BOF)</t>
        </is>
      </c>
      <c r="B43" s="2" t="n">
        <v>1.8</v>
      </c>
      <c r="C43" s="2" t="n">
        <v>1.8</v>
      </c>
      <c r="D43" t="inlineStr">
        <is>
          <t>kg CO₂e/kg</t>
        </is>
      </c>
      <c r="E43" t="inlineStr">
        <is>
          <t>published-class [M]</t>
        </is>
      </c>
      <c r="F43" t="inlineStr"/>
    </row>
    <row r="44">
      <c r="A44" t="inlineStr">
        <is>
          <t>Steel emissions, recycled (EAF)</t>
        </is>
      </c>
      <c r="B44" s="2" t="n">
        <v>0.4</v>
      </c>
      <c r="C44" s="2" t="n">
        <v>0.7</v>
      </c>
      <c r="D44" t="inlineStr">
        <is>
          <t>kg CO₂e/kg</t>
        </is>
      </c>
      <c r="E44" t="inlineStr">
        <is>
          <t>industry range [M]</t>
        </is>
      </c>
      <c r="F44" t="inlineStr"/>
    </row>
    <row r="45">
      <c r="A45" t="inlineStr">
        <is>
          <t>SUPERWOOD manufacturing emissions</t>
        </is>
      </c>
      <c r="B45" s="2" t="n">
        <v>0.5</v>
      </c>
      <c r="C45" s="2" t="n">
        <v>0.5</v>
      </c>
      <c r="D45" t="inlineStr">
        <is>
          <t>kg CO₂e/kg</t>
        </is>
      </c>
      <c r="E45" t="inlineStr">
        <is>
          <t>internal, pre-LCA [L]</t>
        </is>
      </c>
      <c r="F45" t="inlineStr">
        <is>
          <t>Canva DCII deck; LCA under way, Prof. Ming Hu, Notre Dame</t>
        </is>
      </c>
    </row>
    <row r="46">
      <c r="A46" t="inlineStr">
        <is>
          <t>SUPERWOOD biogenic carbon stored</t>
        </is>
      </c>
      <c r="B46" s="2" t="n">
        <v>1.3</v>
      </c>
      <c r="C46" s="2" t="n">
        <v>1.3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Report separately; module C release under EN 15804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</cols>
  <sheetData>
    <row r="1">
      <c r="A1" s="1" t="inlineStr">
        <is>
          <t>Component (building, then contents)</t>
        </is>
      </c>
      <c r="B1" s="1" t="inlineStr">
        <is>
          <t>Low  t per campus</t>
        </is>
      </c>
      <c r="C1" s="1" t="inlineStr">
        <is>
          <t>High  t per campus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Inputs!$B$11*(1-Inputs!$B$29)*Inputs!$B$12*Inputs!$B$2-B5</f>
        <v>720000.0</v>
      </c>
      <c r="C3" s="5">
        <f>Inputs!$C$11*(1-Inputs!$C$29)*Inputs!$C$12*Inputs!$C$2-C5</f>
        <v>1200000.0</v>
      </c>
      <c r="D3" s="5">
        <f>B3</f>
        <v>720000.0</v>
      </c>
      <c r="E3" s="5">
        <f>C3</f>
        <v>1200000.0</v>
      </c>
      <c r="F3" s="6" t="n">
        <v>0</v>
      </c>
      <c r="G3" s="6" t="n">
        <v>0</v>
      </c>
      <c r="H3" s="6" t="n">
        <v>0</v>
      </c>
      <c r="I3" s="6">
        <f>Inputs!$B$30</f>
        <v>0.75</v>
      </c>
      <c r="J3" s="5">
        <f>B3*SUM($F3:$I3)</f>
        <v>540000.0</v>
      </c>
      <c r="K3" s="5">
        <f>C3*SUM($F3:$I3)</f>
        <v>900000.0</v>
      </c>
      <c r="L3" s="5">
        <f>J3*Inputs!$B$32</f>
        <v>27000.0</v>
      </c>
      <c r="M3" s="5">
        <f>K3*Inputs!$C$32</f>
        <v>135000.0</v>
      </c>
      <c r="N3" t="inlineStr">
        <is>
          <t>Technical potential per Alex (75%); no design or code pathway yet. arXiv 2509.21312 [M] for total concrete</t>
        </is>
      </c>
      <c r="O3" s="5">
        <f>C3-K3</f>
        <v>300000.0</v>
      </c>
      <c r="P3" s="5">
        <f>IF(SUM($F3:$I3)=0,0,L3*F3/SUM($F3:$I3))</f>
        <v>0.0</v>
      </c>
      <c r="Q3" s="5">
        <f>IF(SUM($F3:$I3)=0,0,L3*G3/SUM($F3:$I3))</f>
        <v>0.0</v>
      </c>
      <c r="R3" s="5">
        <f>IF(SUM($F3:$I3)=0,0,L3*H3/SUM($F3:$I3))</f>
        <v>0.0</v>
      </c>
      <c r="S3" s="5">
        <f>IF(SUM($F3:$I3)=0,0,L3*I3/SUM($F3:$I3))</f>
        <v>27000.0</v>
      </c>
      <c r="T3" s="5">
        <f>IF(SUM($F3:$I3)=0,0,M3*F3/SUM($F3:$I3))</f>
        <v>0.0</v>
      </c>
      <c r="U3" s="5">
        <f>IF(SUM($F3:$I3)=0,0,M3*G3/SUM($F3:$I3))</f>
        <v>0.0</v>
      </c>
      <c r="V3" s="5">
        <f>IF(SUM($F3:$I3)=0,0,M3*H3/SUM($F3:$I3))</f>
        <v>0.0</v>
      </c>
      <c r="W3" s="5">
        <f>IF(SUM($F3:$I3)=0,0,M3*I3/SUM($F3:$I3))</f>
        <v>135000.0</v>
      </c>
    </row>
    <row r="4">
      <c r="A4" t="inlineStr">
        <is>
          <t>Concrete: foundations, footings, piers, equipment pads</t>
        </is>
      </c>
      <c r="B4" s="5">
        <f>Inputs!$B$11*Inputs!$B$29*Inputs!$B$12*Inputs!$B$2</f>
        <v>480000.0</v>
      </c>
      <c r="C4" s="5">
        <f>Inputs!$C$11*Inputs!$C$29*Inputs!$C$12*Inputs!$C$2</f>
        <v>1200000.0</v>
      </c>
      <c r="D4" s="5">
        <f>D3+B4</f>
        <v>1200000.0</v>
      </c>
      <c r="E4" s="5">
        <f>E3+C4</f>
        <v>2400000.0</v>
      </c>
      <c r="F4" s="6" t="n">
        <v>0</v>
      </c>
      <c r="G4" s="6" t="n">
        <v>0</v>
      </c>
      <c r="H4" s="6" t="n">
        <v>0</v>
      </c>
      <c r="I4" s="6">
        <f>Inputs!$B$31</f>
        <v>0.9</v>
      </c>
      <c r="J4" s="5">
        <f>B4*SUM($F4:$I4)</f>
        <v>432000.0</v>
      </c>
      <c r="K4" s="5">
        <f>C4*SUM($F4:$I4)</f>
        <v>1080000.0</v>
      </c>
      <c r="L4" s="5">
        <f>J4*Inputs!$B$32</f>
        <v>21600.0</v>
      </c>
      <c r="M4" s="5">
        <f>K4*Inputs!$C$32</f>
        <v>162000.0</v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>120000.0</v>
      </c>
      <c r="P4" s="5">
        <f>IF(SUM($F4:$I4)=0,0,L4*F4/SUM($F4:$I4))</f>
        <v>0.0</v>
      </c>
      <c r="Q4" s="5">
        <f>IF(SUM($F4:$I4)=0,0,L4*G4/SUM($F4:$I4))</f>
        <v>0.0</v>
      </c>
      <c r="R4" s="5">
        <f>IF(SUM($F4:$I4)=0,0,L4*H4/SUM($F4:$I4))</f>
        <v>0.0</v>
      </c>
      <c r="S4" s="5">
        <f>IF(SUM($F4:$I4)=0,0,L4*I4/SUM($F4:$I4))</f>
        <v>21600.0</v>
      </c>
      <c r="T4" s="5">
        <f>IF(SUM($F4:$I4)=0,0,M4*F4/SUM($F4:$I4))</f>
        <v>0.0</v>
      </c>
      <c r="U4" s="5">
        <f>IF(SUM($F4:$I4)=0,0,M4*G4/SUM($F4:$I4))</f>
        <v>0.0</v>
      </c>
      <c r="V4" s="5">
        <f>IF(SUM($F4:$I4)=0,0,M4*H4/SUM($F4:$I4))</f>
        <v>0.0</v>
      </c>
      <c r="W4" s="5">
        <f>IF(SUM($F4:$I4)=0,0,M4*I4/SUM($F4:$I4))</f>
        <v>162000.0</v>
      </c>
    </row>
    <row r="5">
      <c r="A5" t="inlineStr">
        <is>
          <t>Precast / tilt-up perimeter walls (precast case)</t>
        </is>
      </c>
      <c r="B5" s="5">
        <f>Inputs!$B$13*Derived!B4*Inputs!$B$14*Inputs!$B$12</f>
        <v>0.0</v>
      </c>
      <c r="C5" s="5">
        <f>Inputs!$C$13*Derived!C4*Inputs!$C$14*Inputs!$C$12</f>
        <v>0.0</v>
      </c>
      <c r="D5" s="5">
        <f>D4+B5</f>
        <v>1200000.0</v>
      </c>
      <c r="E5" s="5">
        <f>E4+C5</f>
        <v>2400000.0</v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>0.0</v>
      </c>
      <c r="K5" s="5">
        <f>C5*SUM($F5:$I5)</f>
        <v>0.0</v>
      </c>
      <c r="L5" s="5">
        <f>SUM($F5:$I5)*Inputs!$B$13*Derived!B4*Inputs!$B$40/1000</f>
        <v>0.0</v>
      </c>
      <c r="M5" s="5">
        <f>SUM($F5:$I5)*Inputs!$C$13*Derived!C4*Inputs!$C$40/1000</f>
        <v>0.0</v>
      </c>
      <c r="N5" t="inlineStr">
        <is>
          <t>Hybrid SUPERWOOD wall panels; NFPA 285 + E119 assemblies. Active when Inputs walls_precast = 1</t>
        </is>
      </c>
      <c r="O5" s="5">
        <f>C5-K5</f>
        <v>0.0</v>
      </c>
      <c r="P5" s="5">
        <f>IF(SUM($F5:$I5)=0,0,L5*F5/SUM($F5:$I5))</f>
        <v>0.0</v>
      </c>
      <c r="Q5" s="5">
        <f>IF(SUM($F5:$I5)=0,0,L5*G5/SUM($F5:$I5))</f>
        <v>0.0</v>
      </c>
      <c r="R5" s="5">
        <f>IF(SUM($F5:$I5)=0,0,L5*H5/SUM($F5:$I5))</f>
        <v>0.0</v>
      </c>
      <c r="S5" s="5">
        <f>IF(SUM($F5:$I5)=0,0,L5*I5/SUM($F5:$I5))</f>
        <v>0.0</v>
      </c>
      <c r="T5" s="5">
        <f>IF(SUM($F5:$I5)=0,0,M5*F5/SUM($F5:$I5))</f>
        <v>0.0</v>
      </c>
      <c r="U5" s="5">
        <f>IF(SUM($F5:$I5)=0,0,M5*G5/SUM($F5:$I5))</f>
        <v>0.0</v>
      </c>
      <c r="V5" s="5">
        <f>IF(SUM($F5:$I5)=0,0,M5*H5/SUM($F5:$I5))</f>
        <v>0.0</v>
      </c>
      <c r="W5" s="5">
        <f>IF(SUM($F5:$I5)=0,0,M5*I5/SUM($F5:$I5))</f>
        <v>0.0</v>
      </c>
    </row>
    <row r="6">
      <c r="A6" t="inlineStr">
        <is>
          <t>Rebar in all concrete</t>
        </is>
      </c>
      <c r="B6" s="5">
        <f>Inputs!$B$11*Inputs!$B$17/1000*Inputs!$B$2</f>
        <v>30000.0</v>
      </c>
      <c r="C6" s="5">
        <f>Inputs!$C$11*Inputs!$C$17/1000*Inputs!$C$2</f>
        <v>100000.0</v>
      </c>
      <c r="D6" s="5">
        <f>D5+B6</f>
        <v>1230000.0</v>
      </c>
      <c r="E6" s="5">
        <f>E5+C6</f>
        <v>2500000.0</v>
      </c>
      <c r="F6" s="6" t="n">
        <v>0</v>
      </c>
      <c r="G6" s="6" t="n">
        <v>0</v>
      </c>
      <c r="H6" s="6" t="n">
        <v>0</v>
      </c>
      <c r="I6" s="6">
        <f>Inputs!$B$29*Inputs!$B$31+(1-Inputs!$B$29)*Inputs!$B$30</f>
        <v>0.81</v>
      </c>
      <c r="J6" s="5">
        <f>B6*SUM($F6:$I6)</f>
        <v>24300.0</v>
      </c>
      <c r="K6" s="5">
        <f>C6*SUM($F6:$I6)</f>
        <v>81000.0</v>
      </c>
      <c r="L6" s="5">
        <f>J6*Inputs!$B$39</f>
        <v>7290.0</v>
      </c>
      <c r="M6" s="5">
        <f>K6*Inputs!$C$39</f>
        <v>48600.0</v>
      </c>
      <c r="N6" t="inlineStr">
        <is>
          <t>Rebar follows the concrete it sits in: foundation share × 90% + slab share × 75%</t>
        </is>
      </c>
      <c r="O6" s="5">
        <f>C6-K6</f>
        <v>19000.0</v>
      </c>
      <c r="P6" s="5">
        <f>IF(SUM($F6:$I6)=0,0,L6*F6/SUM($F6:$I6))</f>
        <v>0.0</v>
      </c>
      <c r="Q6" s="5">
        <f>IF(SUM($F6:$I6)=0,0,L6*G6/SUM($F6:$I6))</f>
        <v>0.0</v>
      </c>
      <c r="R6" s="5">
        <f>IF(SUM($F6:$I6)=0,0,L6*H6/SUM($F6:$I6))</f>
        <v>0.0</v>
      </c>
      <c r="S6" s="5">
        <f>IF(SUM($F6:$I6)=0,0,L6*I6/SUM($F6:$I6))</f>
        <v>7290.0</v>
      </c>
      <c r="T6" s="5">
        <f>IF(SUM($F6:$I6)=0,0,M6*F6/SUM($F6:$I6))</f>
        <v>0.0</v>
      </c>
      <c r="U6" s="5">
        <f>IF(SUM($F6:$I6)=0,0,M6*G6/SUM($F6:$I6))</f>
        <v>0.0</v>
      </c>
      <c r="V6" s="5">
        <f>IF(SUM($F6:$I6)=0,0,M6*H6/SUM($F6:$I6))</f>
        <v>0.0</v>
      </c>
      <c r="W6" s="5">
        <f>IF(SUM($F6:$I6)=0,0,M6*I6/SUM($F6:$I6))</f>
        <v>48600.0</v>
      </c>
    </row>
    <row r="7">
      <c r="A7" t="inlineStr">
        <is>
          <t>Structural steel — primary frame (columns, girders)</t>
        </is>
      </c>
      <c r="B7" s="5">
        <f>Inputs!$B$15*(1-Inputs!$B$16)*Inputs!$B$2</f>
        <v>30000.0</v>
      </c>
      <c r="C7" s="5">
        <f>Inputs!$C$15*(1-Inputs!$C$16)*Inputs!$C$2</f>
        <v>40000.0</v>
      </c>
      <c r="D7" s="5">
        <f>D6+B7</f>
        <v>1260000.0</v>
      </c>
      <c r="E7" s="5">
        <f>E6+C7</f>
        <v>2540000.0</v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>30000.0</v>
      </c>
      <c r="K7" s="5">
        <f>C7*SUM($F7:$I7)</f>
        <v>40000.0</v>
      </c>
      <c r="L7" s="5">
        <f>J7*Inputs!$B$39</f>
        <v>9000.0</v>
      </c>
      <c r="M7" s="5">
        <f>K7*Inputs!$C$39</f>
        <v>24000.0</v>
      </c>
      <c r="N7" t="inlineStr">
        <is>
          <t>ICC-ES via the mass-timber qualification pathway; FM acceptance; E119</t>
        </is>
      </c>
      <c r="O7" s="5">
        <f>C7-K7</f>
        <v>0.0</v>
      </c>
      <c r="P7" s="5">
        <f>IF(SUM($F7:$I7)=0,0,L7*F7/SUM($F7:$I7))</f>
        <v>0.0</v>
      </c>
      <c r="Q7" s="5">
        <f>IF(SUM($F7:$I7)=0,0,L7*G7/SUM($F7:$I7))</f>
        <v>0.0</v>
      </c>
      <c r="R7" s="5">
        <f>IF(SUM($F7:$I7)=0,0,L7*H7/SUM($F7:$I7))</f>
        <v>9000.0</v>
      </c>
      <c r="S7" s="5">
        <f>IF(SUM($F7:$I7)=0,0,L7*I7/SUM($F7:$I7))</f>
        <v>0.0</v>
      </c>
      <c r="T7" s="5">
        <f>IF(SUM($F7:$I7)=0,0,M7*F7/SUM($F7:$I7))</f>
        <v>0.0</v>
      </c>
      <c r="U7" s="5">
        <f>IF(SUM($F7:$I7)=0,0,M7*G7/SUM($F7:$I7))</f>
        <v>0.0</v>
      </c>
      <c r="V7" s="5">
        <f>IF(SUM($F7:$I7)=0,0,M7*H7/SUM($F7:$I7))</f>
        <v>24000.0</v>
      </c>
      <c r="W7" s="5">
        <f>IF(SUM($F7:$I7)=0,0,M7*I7/SUM($F7:$I7))</f>
        <v>0.0</v>
      </c>
    </row>
    <row r="8">
      <c r="A8" t="inlineStr">
        <is>
          <t>Structural steel — roof trusses, joists, roof deck, girts</t>
        </is>
      </c>
      <c r="B8" s="5">
        <f>Inputs!$B$15*Inputs!$B$16*Inputs!$B$2</f>
        <v>20000.0</v>
      </c>
      <c r="C8" s="5">
        <f>Inputs!$C$15*Inputs!$C$16*Inputs!$C$2</f>
        <v>60000.0</v>
      </c>
      <c r="D8" s="5">
        <f>D7+B8</f>
        <v>1280000.0</v>
      </c>
      <c r="E8" s="5">
        <f>E7+C8</f>
        <v>2600000.0</v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>20000.0</v>
      </c>
      <c r="K8" s="5">
        <f>C8*SUM($F8:$I8)</f>
        <v>60000.0</v>
      </c>
      <c r="L8" s="5">
        <f>J8*Inputs!$B$39</f>
        <v>6000.0</v>
      </c>
      <c r="M8" s="5">
        <f>K8*Inputs!$C$39</f>
        <v>36000.0</v>
      </c>
      <c r="N8" t="inlineStr">
        <is>
          <t>Design values and connection data; trusses carry no fire-resistance requirement</t>
        </is>
      </c>
      <c r="O8" s="5">
        <f>C8-K8</f>
        <v>0.0</v>
      </c>
      <c r="P8" s="5">
        <f>IF(SUM($F8:$I8)=0,0,L8*F8/SUM($F8:$I8))</f>
        <v>0.0</v>
      </c>
      <c r="Q8" s="5">
        <f>IF(SUM($F8:$I8)=0,0,L8*G8/SUM($F8:$I8))</f>
        <v>0.0</v>
      </c>
      <c r="R8" s="5">
        <f>IF(SUM($F8:$I8)=0,0,L8*H8/SUM($F8:$I8))</f>
        <v>6000.0</v>
      </c>
      <c r="S8" s="5">
        <f>IF(SUM($F8:$I8)=0,0,L8*I8/SUM($F8:$I8))</f>
        <v>0.0</v>
      </c>
      <c r="T8" s="5">
        <f>IF(SUM($F8:$I8)=0,0,M8*F8/SUM($F8:$I8))</f>
        <v>0.0</v>
      </c>
      <c r="U8" s="5">
        <f>IF(SUM($F8:$I8)=0,0,M8*G8/SUM($F8:$I8))</f>
        <v>0.0</v>
      </c>
      <c r="V8" s="5">
        <f>IF(SUM($F8:$I8)=0,0,M8*H8/SUM($F8:$I8))</f>
        <v>36000.0</v>
      </c>
      <c r="W8" s="5">
        <f>IF(SUM($F8:$I8)=0,0,M8*I8/SUM($F8:$I8))</f>
        <v>0.0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>1858.0599999999997</v>
      </c>
      <c r="C9" s="5">
        <f>(1-Inputs!$C$13)*Derived!C4*Inputs!$C$19/1000</f>
        <v>7432.239999999999</v>
      </c>
      <c r="D9" s="5">
        <f>D8+B9</f>
        <v>1281858.06</v>
      </c>
      <c r="E9" s="5">
        <f>E8+C9</f>
        <v>2607432.24</v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>1858.0599999999997</v>
      </c>
      <c r="K9" s="5">
        <f>C9*SUM($F9:$I9)</f>
        <v>7432.239999999999</v>
      </c>
      <c r="L9" s="5">
        <f>SUM($F9:$I9)*(1-Inputs!$B$13)*Derived!B3*Derived!B6/1000</f>
        <v>695.657664</v>
      </c>
      <c r="M9" s="5">
        <f>SUM($F9:$I9)*(1-Inputs!$C$13)*Derived!C3*Derived!C6/1000</f>
        <v>1391.315328</v>
      </c>
      <c r="N9" t="inlineStr">
        <is>
          <t>Shipping now; area-for-area rain screen</t>
        </is>
      </c>
      <c r="O9" s="5">
        <f>C9-K9</f>
        <v>0.0</v>
      </c>
      <c r="P9" s="5">
        <f>IF(SUM($F9:$I9)=0,0,L9*F9/SUM($F9:$I9))</f>
        <v>695.657664</v>
      </c>
      <c r="Q9" s="5">
        <f>IF(SUM($F9:$I9)=0,0,L9*G9/SUM($F9:$I9))</f>
        <v>0.0</v>
      </c>
      <c r="R9" s="5">
        <f>IF(SUM($F9:$I9)=0,0,L9*H9/SUM($F9:$I9))</f>
        <v>0.0</v>
      </c>
      <c r="S9" s="5">
        <f>IF(SUM($F9:$I9)=0,0,L9*I9/SUM($F9:$I9))</f>
        <v>0.0</v>
      </c>
      <c r="T9" s="5">
        <f>IF(SUM($F9:$I9)=0,0,M9*F9/SUM($F9:$I9))</f>
        <v>1391.315328</v>
      </c>
      <c r="U9" s="5">
        <f>IF(SUM($F9:$I9)=0,0,M9*G9/SUM($F9:$I9))</f>
        <v>0.0</v>
      </c>
      <c r="V9" s="5">
        <f>IF(SUM($F9:$I9)=0,0,M9*H9/SUM($F9:$I9))</f>
        <v>0.0</v>
      </c>
      <c r="W9" s="5">
        <f>IF(SUM($F9:$I9)=0,0,M9*I9/SUM($F9:$I9))</f>
        <v>0.0</v>
      </c>
    </row>
    <row r="10">
      <c r="A10" t="inlineStr">
        <is>
          <t>Louvers and yard / mechanical screens</t>
        </is>
      </c>
      <c r="B10" s="5">
        <f>Inputs!$B$6*0.092903*Inputs!$B$20/1000</f>
        <v>185.806</v>
      </c>
      <c r="C10" s="5">
        <f>Inputs!$C$6*0.092903*Inputs!$C$20/1000</f>
        <v>929.03</v>
      </c>
      <c r="D10" s="5">
        <f>D9+B10</f>
        <v>1282043.8660000002</v>
      </c>
      <c r="E10" s="5">
        <f>E9+C10</f>
        <v>2608361.27</v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>185.806</v>
      </c>
      <c r="K10" s="5">
        <f>C10*SUM($F10:$I10)</f>
        <v>929.03</v>
      </c>
      <c r="L10" s="5">
        <f>SUM($F10:$I10)*Inputs!$B$6*Derived!B6/1000</f>
        <v>173.914416</v>
      </c>
      <c r="M10" s="5">
        <f>SUM($F10:$I10)*Inputs!$C$6*Derived!C6/1000</f>
        <v>434.78603999999996</v>
      </c>
      <c r="N10" t="inlineStr">
        <is>
          <t>Shipping now</t>
        </is>
      </c>
      <c r="O10" s="5">
        <f>C10-K10</f>
        <v>0.0</v>
      </c>
      <c r="P10" s="5">
        <f>IF(SUM($F10:$I10)=0,0,L10*F10/SUM($F10:$I10))</f>
        <v>173.914416</v>
      </c>
      <c r="Q10" s="5">
        <f>IF(SUM($F10:$I10)=0,0,L10*G10/SUM($F10:$I10))</f>
        <v>0.0</v>
      </c>
      <c r="R10" s="5">
        <f>IF(SUM($F10:$I10)=0,0,L10*H10/SUM($F10:$I10))</f>
        <v>0.0</v>
      </c>
      <c r="S10" s="5">
        <f>IF(SUM($F10:$I10)=0,0,L10*I10/SUM($F10:$I10))</f>
        <v>0.0</v>
      </c>
      <c r="T10" s="5">
        <f>IF(SUM($F10:$I10)=0,0,M10*F10/SUM($F10:$I10))</f>
        <v>434.78603999999996</v>
      </c>
      <c r="U10" s="5">
        <f>IF(SUM($F10:$I10)=0,0,M10*G10/SUM($F10:$I10))</f>
        <v>0.0</v>
      </c>
      <c r="V10" s="5">
        <f>IF(SUM($F10:$I10)=0,0,M10*H10/SUM($F10:$I10))</f>
        <v>0.0</v>
      </c>
      <c r="W10" s="5">
        <f>IF(SUM($F10:$I10)=0,0,M10*I10/SUM($F10:$I10))</f>
        <v>0.0</v>
      </c>
    </row>
    <row r="11">
      <c r="A11" t="inlineStr">
        <is>
          <t>Security and staff-area fencing</t>
        </is>
      </c>
      <c r="B11" s="5">
        <f>Inputs!$B$7*1000*Inputs!$B$21/1000</f>
        <v>300.0</v>
      </c>
      <c r="C11" s="5">
        <f>Inputs!$C$7*1000*Inputs!$C$21/1000</f>
        <v>1000.0</v>
      </c>
      <c r="D11" s="5">
        <f>D10+B11</f>
        <v>1282343.8660000002</v>
      </c>
      <c r="E11" s="5">
        <f>E10+C11</f>
        <v>2609361.27</v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>300.0</v>
      </c>
      <c r="K11" s="5">
        <f>C11*SUM($F11:$I11)</f>
        <v>1000.0</v>
      </c>
      <c r="L11" s="5">
        <f>SUM($F11:$I11)*Derived!B5*Derived!B6/1000</f>
        <v>233.99999999999997</v>
      </c>
      <c r="M11" s="5">
        <f>SUM($F11:$I11)*Derived!C5*Derived!C6/1000</f>
        <v>467.99999999999994</v>
      </c>
      <c r="N11" t="inlineStr">
        <is>
          <t>Shipping now — the Microsoft near-term list</t>
        </is>
      </c>
      <c r="O11" s="5">
        <f>C11-K11</f>
        <v>0.0</v>
      </c>
      <c r="P11" s="5">
        <f>IF(SUM($F11:$I11)=0,0,L11*F11/SUM($F11:$I11))</f>
        <v>233.99999999999997</v>
      </c>
      <c r="Q11" s="5">
        <f>IF(SUM($F11:$I11)=0,0,L11*G11/SUM($F11:$I11))</f>
        <v>0.0</v>
      </c>
      <c r="R11" s="5">
        <f>IF(SUM($F11:$I11)=0,0,L11*H11/SUM($F11:$I11))</f>
        <v>0.0</v>
      </c>
      <c r="S11" s="5">
        <f>IF(SUM($F11:$I11)=0,0,L11*I11/SUM($F11:$I11))</f>
        <v>0.0</v>
      </c>
      <c r="T11" s="5">
        <f>IF(SUM($F11:$I11)=0,0,M11*F11/SUM($F11:$I11))</f>
        <v>467.99999999999994</v>
      </c>
      <c r="U11" s="5">
        <f>IF(SUM($F11:$I11)=0,0,M11*G11/SUM($F11:$I11))</f>
        <v>0.0</v>
      </c>
      <c r="V11" s="5">
        <f>IF(SUM($F11:$I11)=0,0,M11*H11/SUM($F11:$I11))</f>
        <v>0.0</v>
      </c>
      <c r="W11" s="5">
        <f>IF(SUM($F11:$I11)=0,0,M11*I11/SUM($F11:$I11))</f>
        <v>0.0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>
      <c r="A13" t="inlineStr">
        <is>
          <t>Platforms, walkways, mezzanines, railings, tray supports</t>
        </is>
      </c>
      <c r="B13" s="5">
        <f>Inputs!$B$18*Inputs!$B$2</f>
        <v>5000.0</v>
      </c>
      <c r="C13" s="5">
        <f>Inputs!$C$18*Inputs!$C$2</f>
        <v>15000.0</v>
      </c>
      <c r="D13" s="5">
        <f>D11+B13</f>
        <v>1287343.8660000002</v>
      </c>
      <c r="E13" s="5">
        <f>E11+C13</f>
        <v>2624361.27</v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>5000.0</v>
      </c>
      <c r="K13" s="5">
        <f>C13*SUM($F13:$I13)</f>
        <v>15000.0</v>
      </c>
      <c r="L13" s="5">
        <f>J13*Inputs!$B$39</f>
        <v>1500.0</v>
      </c>
      <c r="M13" s="5">
        <f>K13*Inputs!$C$39</f>
        <v>9000.0</v>
      </c>
      <c r="N13" t="inlineStr">
        <is>
          <t>Published design values; IBC 1607 for railings</t>
        </is>
      </c>
      <c r="O13" s="5">
        <f>C13-K13</f>
        <v>0.0</v>
      </c>
      <c r="P13" s="5">
        <f>IF(SUM($F13:$I13)=0,0,L13*F13/SUM($F13:$I13))</f>
        <v>0.0</v>
      </c>
      <c r="Q13" s="5">
        <f>IF(SUM($F13:$I13)=0,0,L13*G13/SUM($F13:$I13))</f>
        <v>1500.0</v>
      </c>
      <c r="R13" s="5">
        <f>IF(SUM($F13:$I13)=0,0,L13*H13/SUM($F13:$I13))</f>
        <v>0.0</v>
      </c>
      <c r="S13" s="5">
        <f>IF(SUM($F13:$I13)=0,0,L13*I13/SUM($F13:$I13))</f>
        <v>0.0</v>
      </c>
      <c r="T13" s="5">
        <f>IF(SUM($F13:$I13)=0,0,M13*F13/SUM($F13:$I13))</f>
        <v>0.0</v>
      </c>
      <c r="U13" s="5">
        <f>IF(SUM($F13:$I13)=0,0,M13*G13/SUM($F13:$I13))</f>
        <v>9000.0</v>
      </c>
      <c r="V13" s="5">
        <f>IF(SUM($F13:$I13)=0,0,M13*H13/SUM($F13:$I13))</f>
        <v>0.0</v>
      </c>
      <c r="W13" s="5">
        <f>IF(SUM($F13:$I13)=0,0,M13*I13/SUM($F13:$I13))</f>
        <v>0.0</v>
      </c>
    </row>
    <row r="14">
      <c r="A14" t="inlineStr">
        <is>
          <t>Acoustic barriers, enclosures, HVAC separations</t>
        </is>
      </c>
      <c r="B14" s="5">
        <f>Inputs!$B$22*Inputs!$B$2</f>
        <v>2000.0</v>
      </c>
      <c r="C14" s="5">
        <f>Inputs!$C$22*Inputs!$C$2</f>
        <v>5000.0</v>
      </c>
      <c r="D14" s="5">
        <f>D13+B14</f>
        <v>1289343.8660000002</v>
      </c>
      <c r="E14" s="5">
        <f>E13+C14</f>
        <v>2629361.27</v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>2000.0</v>
      </c>
      <c r="K14" s="5">
        <f>C14*SUM($F14:$I14)</f>
        <v>5000.0</v>
      </c>
      <c r="L14" s="5">
        <f>J14*Inputs!$B$39</f>
        <v>600.0</v>
      </c>
      <c r="M14" s="5">
        <f>K14*Inputs!$C$39</f>
        <v>3000.0</v>
      </c>
      <c r="N14" t="inlineStr">
        <is>
          <t>STC / OITC lab and field data</t>
        </is>
      </c>
      <c r="O14" s="5">
        <f>C14-K14</f>
        <v>0.0</v>
      </c>
      <c r="P14" s="5">
        <f>IF(SUM($F14:$I14)=0,0,L14*F14/SUM($F14:$I14))</f>
        <v>0.0</v>
      </c>
      <c r="Q14" s="5">
        <f>IF(SUM($F14:$I14)=0,0,L14*G14/SUM($F14:$I14))</f>
        <v>600.0</v>
      </c>
      <c r="R14" s="5">
        <f>IF(SUM($F14:$I14)=0,0,L14*H14/SUM($F14:$I14))</f>
        <v>0.0</v>
      </c>
      <c r="S14" s="5">
        <f>IF(SUM($F14:$I14)=0,0,L14*I14/SUM($F14:$I14))</f>
        <v>0.0</v>
      </c>
      <c r="T14" s="5">
        <f>IF(SUM($F14:$I14)=0,0,M14*F14/SUM($F14:$I14))</f>
        <v>0.0</v>
      </c>
      <c r="U14" s="5">
        <f>IF(SUM($F14:$I14)=0,0,M14*G14/SUM($F14:$I14))</f>
        <v>3000.0</v>
      </c>
      <c r="V14" s="5">
        <f>IF(SUM($F14:$I14)=0,0,M14*H14/SUM($F14:$I14))</f>
        <v>0.0</v>
      </c>
      <c r="W14" s="5">
        <f>IF(SUM($F14:$I14)=0,0,M14*I14/SUM($F14:$I14))</f>
        <v>0.0</v>
      </c>
    </row>
    <row r="15">
      <c r="A15" t="inlineStr">
        <is>
          <t>Racking and equipment supports</t>
        </is>
      </c>
      <c r="B15" s="5">
        <f>Inputs!$B$23*Inputs!$B$2</f>
        <v>2000.0</v>
      </c>
      <c r="C15" s="5">
        <f>Inputs!$C$23*Inputs!$C$2</f>
        <v>5000.0</v>
      </c>
      <c r="D15" s="5">
        <f>D14+B15</f>
        <v>1291343.8660000002</v>
      </c>
      <c r="E15" s="5">
        <f>E14+C15</f>
        <v>2634361.27</v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>2000.0</v>
      </c>
      <c r="K15" s="5">
        <f>C15*SUM($F15:$I15)</f>
        <v>5000.0</v>
      </c>
      <c r="L15" s="5">
        <f>J15*Inputs!$B$39</f>
        <v>600.0</v>
      </c>
      <c r="M15" s="5">
        <f>K15*Inputs!$C$39</f>
        <v>3000.0</v>
      </c>
      <c r="N15" t="inlineStr">
        <is>
          <t>Design values, seismic qualification</t>
        </is>
      </c>
      <c r="O15" s="5">
        <f>C15-K15</f>
        <v>0.0</v>
      </c>
      <c r="P15" s="5">
        <f>IF(SUM($F15:$I15)=0,0,L15*F15/SUM($F15:$I15))</f>
        <v>0.0</v>
      </c>
      <c r="Q15" s="5">
        <f>IF(SUM($F15:$I15)=0,0,L15*G15/SUM($F15:$I15))</f>
        <v>600.0</v>
      </c>
      <c r="R15" s="5">
        <f>IF(SUM($F15:$I15)=0,0,L15*H15/SUM($F15:$I15))</f>
        <v>0.0</v>
      </c>
      <c r="S15" s="5">
        <f>IF(SUM($F15:$I15)=0,0,L15*I15/SUM($F15:$I15))</f>
        <v>0.0</v>
      </c>
      <c r="T15" s="5">
        <f>IF(SUM($F15:$I15)=0,0,M15*F15/SUM($F15:$I15))</f>
        <v>0.0</v>
      </c>
      <c r="U15" s="5">
        <f>IF(SUM($F15:$I15)=0,0,M15*G15/SUM($F15:$I15))</f>
        <v>3000.0</v>
      </c>
      <c r="V15" s="5">
        <f>IF(SUM($F15:$I15)=0,0,M15*H15/SUM($F15:$I15))</f>
        <v>0.0</v>
      </c>
      <c r="W15" s="5">
        <f>IF(SUM($F15:$I15)=0,0,M15*I15/SUM($F15:$I15))</f>
        <v>0.0</v>
      </c>
    </row>
    <row r="16">
      <c r="A16" t="inlineStr">
        <is>
          <t>Other tray, containment, doors, misc. metals</t>
        </is>
      </c>
      <c r="B16" s="5">
        <f>Inputs!$B$24*Inputs!$B$2</f>
        <v>5000.0</v>
      </c>
      <c r="C16" s="5">
        <f>Inputs!$C$24*Inputs!$C$2</f>
        <v>10000.0</v>
      </c>
      <c r="D16" s="5">
        <f>D15+B16</f>
        <v>1296343.8660000002</v>
      </c>
      <c r="E16" s="5">
        <f>E15+C16</f>
        <v>2644361.27</v>
      </c>
      <c r="F16" s="6" t="n">
        <v>0</v>
      </c>
      <c r="G16" s="6">
        <f>Inputs!$B$41</f>
        <v>0.5</v>
      </c>
      <c r="H16" s="6" t="n">
        <v>0</v>
      </c>
      <c r="I16" s="6" t="n">
        <v>0</v>
      </c>
      <c r="J16" s="5">
        <f>B16*SUM($F16:$I16)</f>
        <v>2500.0</v>
      </c>
      <c r="K16" s="5">
        <f>C16*SUM($F16:$I16)</f>
        <v>5000.0</v>
      </c>
      <c r="L16" s="5">
        <f>J16*Inputs!$B$39</f>
        <v>750.0</v>
      </c>
      <c r="M16" s="5">
        <f>K16*Inputs!$C$39</f>
        <v>3000.0</v>
      </c>
      <c r="N16" t="inlineStr">
        <is>
          <t>Partial; UL 10C for rated doors</t>
        </is>
      </c>
      <c r="O16" s="5">
        <f>C16-K16</f>
        <v>5000.0</v>
      </c>
      <c r="P16" s="5">
        <f>IF(SUM($F16:$I16)=0,0,L16*F16/SUM($F16:$I16))</f>
        <v>0.0</v>
      </c>
      <c r="Q16" s="5">
        <f>IF(SUM($F16:$I16)=0,0,L16*G16/SUM($F16:$I16))</f>
        <v>750.0</v>
      </c>
      <c r="R16" s="5">
        <f>IF(SUM($F16:$I16)=0,0,L16*H16/SUM($F16:$I16))</f>
        <v>0.0</v>
      </c>
      <c r="S16" s="5">
        <f>IF(SUM($F16:$I16)=0,0,L16*I16/SUM($F16:$I16))</f>
        <v>0.0</v>
      </c>
      <c r="T16" s="5">
        <f>IF(SUM($F16:$I16)=0,0,M16*F16/SUM($F16:$I16))</f>
        <v>0.0</v>
      </c>
      <c r="U16" s="5">
        <f>IF(SUM($F16:$I16)=0,0,M16*G16/SUM($F16:$I16))</f>
        <v>3000.0</v>
      </c>
      <c r="V16" s="5">
        <f>IF(SUM($F16:$I16)=0,0,M16*H16/SUM($F16:$I16))</f>
        <v>0.0</v>
      </c>
      <c r="W16" s="5">
        <f>IF(SUM($F16:$I16)=0,0,M16*I16/SUM($F16:$I16))</f>
        <v>0.0</v>
      </c>
    </row>
    <row r="17">
      <c r="A17" t="inlineStr">
        <is>
          <t>Ducting, plenums and air-distribution sheet metal</t>
        </is>
      </c>
      <c r="B17" s="5">
        <f>Inputs!$B$33*Inputs!$B$2</f>
        <v>3000.0</v>
      </c>
      <c r="C17" s="5">
        <f>Inputs!$C$33*Inputs!$C$2</f>
        <v>8000.0</v>
      </c>
      <c r="D17" s="5">
        <f>D16+B17</f>
        <v>1299343.8660000002</v>
      </c>
      <c r="E17" s="5">
        <f>E16+C17</f>
        <v>2652361.27</v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>3000.0</v>
      </c>
      <c r="K17" s="5">
        <f>C17*SUM($F17:$I17)</f>
        <v>8000.0</v>
      </c>
      <c r="L17" s="5">
        <f>J17*Inputs!$B$39</f>
        <v>900.0</v>
      </c>
      <c r="M17" s="5">
        <f>K17*Inputs!$C$39</f>
        <v>4800.0</v>
      </c>
      <c r="N17" t="inlineStr">
        <is>
          <t>NFPA 90A / UL 181 noncombustibility expectations for in-airstream components — the hardest gate in this row set</t>
        </is>
      </c>
      <c r="O17" s="5">
        <f>C17-K17</f>
        <v>0.0</v>
      </c>
      <c r="P17" s="5">
        <f>IF(SUM($F17:$I17)=0,0,L17*F17/SUM($F17:$I17))</f>
        <v>0.0</v>
      </c>
      <c r="Q17" s="5">
        <f>IF(SUM($F17:$I17)=0,0,L17*G17/SUM($F17:$I17))</f>
        <v>0.0</v>
      </c>
      <c r="R17" s="5">
        <f>IF(SUM($F17:$I17)=0,0,L17*H17/SUM($F17:$I17))</f>
        <v>900.0</v>
      </c>
      <c r="S17" s="5">
        <f>IF(SUM($F17:$I17)=0,0,L17*I17/SUM($F17:$I17))</f>
        <v>0.0</v>
      </c>
      <c r="T17" s="5">
        <f>IF(SUM($F17:$I17)=0,0,M17*F17/SUM($F17:$I17))</f>
        <v>0.0</v>
      </c>
      <c r="U17" s="5">
        <f>IF(SUM($F17:$I17)=0,0,M17*G17/SUM($F17:$I17))</f>
        <v>0.0</v>
      </c>
      <c r="V17" s="5">
        <f>IF(SUM($F17:$I17)=0,0,M17*H17/SUM($F17:$I17))</f>
        <v>4800.0</v>
      </c>
      <c r="W17" s="5">
        <f>IF(SUM($F17:$I17)=0,0,M17*I17/SUM($F17:$I17))</f>
        <v>0.0</v>
      </c>
    </row>
    <row r="18">
      <c r="A18" t="inlineStr">
        <is>
          <t>Interior finishes, backplanes, trim (admin / office)</t>
        </is>
      </c>
      <c r="B18" s="5">
        <f>Inputs!$B$25*Inputs!$B$2</f>
        <v>1000.0</v>
      </c>
      <c r="C18" s="5">
        <f>Inputs!$C$25*Inputs!$C$2</f>
        <v>3000.0</v>
      </c>
      <c r="D18" s="5">
        <f>D17+B18</f>
        <v>1300343.8660000002</v>
      </c>
      <c r="E18" s="5">
        <f>E17+C18</f>
        <v>2655361.27</v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>1000.0</v>
      </c>
      <c r="K18" s="5">
        <f>C18*SUM($F18:$I18)</f>
        <v>3000.0</v>
      </c>
      <c r="L18" s="5">
        <f>SUM($F18:$I18)*(Inputs!$B$9+Inputs!$B$10)*Derived!B6/1000</f>
        <v>130.435812</v>
      </c>
      <c r="M18" s="5">
        <f>SUM($F18:$I18)*(Inputs!$C$9+Inputs!$C$10)*Derived!C6/1000</f>
        <v>391.307436</v>
      </c>
      <c r="N18" t="inlineStr">
        <is>
          <t>E84 Class A finish; backplanes UL 94 yellow card (not yet started)</t>
        </is>
      </c>
      <c r="O18" s="5">
        <f>C18-K18</f>
        <v>0.0</v>
      </c>
      <c r="P18" s="5">
        <f>IF(SUM($F18:$I18)=0,0,L18*F18/SUM($F18:$I18))</f>
        <v>130.435812</v>
      </c>
      <c r="Q18" s="5">
        <f>IF(SUM($F18:$I18)=0,0,L18*G18/SUM($F18:$I18))</f>
        <v>0.0</v>
      </c>
      <c r="R18" s="5">
        <f>IF(SUM($F18:$I18)=0,0,L18*H18/SUM($F18:$I18))</f>
        <v>0.0</v>
      </c>
      <c r="S18" s="5">
        <f>IF(SUM($F18:$I18)=0,0,L18*I18/SUM($F18:$I18))</f>
        <v>0.0</v>
      </c>
      <c r="T18" s="5">
        <f>IF(SUM($F18:$I18)=0,0,M18*F18/SUM($F18:$I18))</f>
        <v>391.307436</v>
      </c>
      <c r="U18" s="5">
        <f>IF(SUM($F18:$I18)=0,0,M18*G18/SUM($F18:$I18))</f>
        <v>0.0</v>
      </c>
      <c r="V18" s="5">
        <f>IF(SUM($F18:$I18)=0,0,M18*H18/SUM($F18:$I18))</f>
        <v>0.0</v>
      </c>
      <c r="W18" s="5">
        <f>IF(SUM($F18:$I18)=0,0,M18*I18/SUM($F18:$I18))</f>
        <v>0.0</v>
      </c>
    </row>
    <row r="19">
      <c r="A19" t="inlineStr">
        <is>
          <t>Electrical equipment and conductors</t>
        </is>
      </c>
      <c r="B19" s="5">
        <f>Inputs!$B$26*Inputs!$B$2</f>
        <v>50000.0</v>
      </c>
      <c r="C19" s="5">
        <f>Inputs!$C$26*Inputs!$C$2</f>
        <v>100000.0</v>
      </c>
      <c r="D19" s="5">
        <f>D18+B19</f>
        <v>1350343.8660000002</v>
      </c>
      <c r="E19" s="5">
        <f>E18+C19</f>
        <v>2755361.27</v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>0.0</v>
      </c>
      <c r="K19" s="5">
        <f>C19*SUM($F19:$I19)</f>
        <v>0.0</v>
      </c>
      <c r="L19" s="5">
        <f>0</f>
        <v>0.0</v>
      </c>
      <c r="M19" s="5">
        <f>0</f>
        <v>0.0</v>
      </c>
      <c r="N19" t="inlineStr">
        <is>
          <t>Gensets, transformers, switchgear, batteries, copper</t>
        </is>
      </c>
      <c r="O19" s="5">
        <f>C19-K19</f>
        <v>100000.0</v>
      </c>
      <c r="P19" s="5">
        <f>IF(SUM($F19:$I19)=0,0,L19*F19/SUM($F19:$I19))</f>
        <v>0.0</v>
      </c>
      <c r="Q19" s="5">
        <f>IF(SUM($F19:$I19)=0,0,L19*G19/SUM($F19:$I19))</f>
        <v>0.0</v>
      </c>
      <c r="R19" s="5">
        <f>IF(SUM($F19:$I19)=0,0,L19*H19/SUM($F19:$I19))</f>
        <v>0.0</v>
      </c>
      <c r="S19" s="5">
        <f>IF(SUM($F19:$I19)=0,0,L19*I19/SUM($F19:$I19))</f>
        <v>0.0</v>
      </c>
      <c r="T19" s="5">
        <f>IF(SUM($F19:$I19)=0,0,M19*F19/SUM($F19:$I19))</f>
        <v>0.0</v>
      </c>
      <c r="U19" s="5">
        <f>IF(SUM($F19:$I19)=0,0,M19*G19/SUM($F19:$I19))</f>
        <v>0.0</v>
      </c>
      <c r="V19" s="5">
        <f>IF(SUM($F19:$I19)=0,0,M19*H19/SUM($F19:$I19))</f>
        <v>0.0</v>
      </c>
      <c r="W19" s="5">
        <f>IF(SUM($F19:$I19)=0,0,M19*I19/SUM($F19:$I19))</f>
        <v>0.0</v>
      </c>
    </row>
    <row r="20">
      <c r="A20" t="inlineStr">
        <is>
          <t>Mechanical equipment, piping, loop water</t>
        </is>
      </c>
      <c r="B20" s="5">
        <f>Inputs!$B$27*Inputs!$B$2</f>
        <v>20000.0</v>
      </c>
      <c r="C20" s="5">
        <f>Inputs!$C$27*Inputs!$C$2</f>
        <v>50000.0</v>
      </c>
      <c r="D20" s="5">
        <f>D19+B20</f>
        <v>1370343.8660000002</v>
      </c>
      <c r="E20" s="5">
        <f>E19+C20</f>
        <v>2805361.27</v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>0.0</v>
      </c>
      <c r="K20" s="5">
        <f>C20*SUM($F20:$I20)</f>
        <v>0.0</v>
      </c>
      <c r="L20" s="5">
        <f>0</f>
        <v>0.0</v>
      </c>
      <c r="M20" s="5">
        <f>0</f>
        <v>0.0</v>
      </c>
      <c r="N20" t="inlineStr">
        <is>
          <t>Chillers, fan walls, coolers, piping (ductwork is its own row)</t>
        </is>
      </c>
      <c r="O20" s="5">
        <f>C20-K20</f>
        <v>50000.0</v>
      </c>
      <c r="P20" s="5">
        <f>IF(SUM($F20:$I20)=0,0,L20*F20/SUM($F20:$I20))</f>
        <v>0.0</v>
      </c>
      <c r="Q20" s="5">
        <f>IF(SUM($F20:$I20)=0,0,L20*G20/SUM($F20:$I20))</f>
        <v>0.0</v>
      </c>
      <c r="R20" s="5">
        <f>IF(SUM($F20:$I20)=0,0,L20*H20/SUM($F20:$I20))</f>
        <v>0.0</v>
      </c>
      <c r="S20" s="5">
        <f>IF(SUM($F20:$I20)=0,0,L20*I20/SUM($F20:$I20))</f>
        <v>0.0</v>
      </c>
      <c r="T20" s="5">
        <f>IF(SUM($F20:$I20)=0,0,M20*F20/SUM($F20:$I20))</f>
        <v>0.0</v>
      </c>
      <c r="U20" s="5">
        <f>IF(SUM($F20:$I20)=0,0,M20*G20/SUM($F20:$I20))</f>
        <v>0.0</v>
      </c>
      <c r="V20" s="5">
        <f>IF(SUM($F20:$I20)=0,0,M20*H20/SUM($F20:$I20))</f>
        <v>0.0</v>
      </c>
      <c r="W20" s="5">
        <f>IF(SUM($F20:$I20)=0,0,M20*I20/SUM($F20:$I20))</f>
        <v>0.0</v>
      </c>
    </row>
    <row r="21">
      <c r="A21" t="inlineStr">
        <is>
          <t>IT — servers and racks</t>
        </is>
      </c>
      <c r="B21" s="5">
        <f>Inputs!$B$28*Inputs!$B$2</f>
        <v>15000.0</v>
      </c>
      <c r="C21" s="5">
        <f>Inputs!$C$28*Inputs!$C$2</f>
        <v>70000.0</v>
      </c>
      <c r="D21" s="5">
        <f>D20+B21</f>
        <v>1385343.8660000002</v>
      </c>
      <c r="E21" s="5">
        <f>E20+C21</f>
        <v>2875361.27</v>
      </c>
      <c r="F21" s="6" t="n">
        <v>0</v>
      </c>
      <c r="G21" s="6" t="n">
        <v>0</v>
      </c>
      <c r="H21" s="6" t="n">
        <v>0</v>
      </c>
      <c r="I21" s="6" t="n">
        <v>0</v>
      </c>
      <c r="J21" s="5">
        <f>B21*SUM($F21:$I21)</f>
        <v>0.0</v>
      </c>
      <c r="K21" s="5">
        <f>C21*SUM($F21:$I21)</f>
        <v>0.0</v>
      </c>
      <c r="L21" s="5">
        <f>0</f>
        <v>0.0</v>
      </c>
      <c r="M21" s="5">
        <f>0</f>
        <v>0.0</v>
      </c>
      <c r="N21" t="inlineStr">
        <is>
          <t>Rack masses [H]; aggregate [L]</t>
        </is>
      </c>
      <c r="O21" s="5">
        <f>C21-K21</f>
        <v>70000.0</v>
      </c>
      <c r="P21" s="5">
        <f>IF(SUM($F21:$I21)=0,0,L21*F21/SUM($F21:$I21))</f>
        <v>0.0</v>
      </c>
      <c r="Q21" s="5">
        <f>IF(SUM($F21:$I21)=0,0,L21*G21/SUM($F21:$I21))</f>
        <v>0.0</v>
      </c>
      <c r="R21" s="5">
        <f>IF(SUM($F21:$I21)=0,0,L21*H21/SUM($F21:$I21))</f>
        <v>0.0</v>
      </c>
      <c r="S21" s="5">
        <f>IF(SUM($F21:$I21)=0,0,L21*I21/SUM($F21:$I21))</f>
        <v>0.0</v>
      </c>
      <c r="T21" s="5">
        <f>IF(SUM($F21:$I21)=0,0,M21*F21/SUM($F21:$I21))</f>
        <v>0.0</v>
      </c>
      <c r="U21" s="5">
        <f>IF(SUM($F21:$I21)=0,0,M21*G21/SUM($F21:$I21))</f>
        <v>0.0</v>
      </c>
      <c r="V21" s="5">
        <f>IF(SUM($F21:$I21)=0,0,M21*H21/SUM($F21:$I21))</f>
        <v>0.0</v>
      </c>
      <c r="W21" s="5">
        <f>IF(SUM($F21:$I21)=0,0,M21*I21/SUM($F21:$I21))</f>
        <v>0.0</v>
      </c>
    </row>
    <row r="23">
      <c r="A23" s="3" t="inlineStr">
        <is>
          <t>SUMMARY — per campus</t>
        </is>
      </c>
    </row>
    <row r="24">
      <c r="A24" s="7" t="inlineStr">
        <is>
          <t>Total mass, building and contents (t)</t>
        </is>
      </c>
      <c r="B24" s="8">
        <f>SUM(B3:B21)</f>
        <v>1385343.866</v>
      </c>
      <c r="C24" s="8">
        <f>SUM(C3:C21)</f>
        <v>2875361.27</v>
      </c>
    </row>
    <row r="25">
      <c r="A25" s="7" t="inlineStr">
        <is>
          <t>Total excluding concrete (t)</t>
        </is>
      </c>
      <c r="B25" s="8">
        <f>B24-B3-B4-B5</f>
        <v>185343.86599999992</v>
      </c>
      <c r="C25" s="8">
        <f>C24-C3-C4-C5</f>
        <v>475361.27</v>
      </c>
    </row>
    <row r="27">
      <c r="A27" s="7" t="inlineStr">
        <is>
          <t>Replaced by SUPERWOOD, by horizon</t>
        </is>
      </c>
    </row>
    <row r="28">
      <c r="A28" s="9" t="inlineStr">
        <is>
          <t>Immediate — incumbent mass replaced (t)</t>
        </is>
      </c>
      <c r="B28" s="10">
        <f>SUMPRODUCT(B3:B21,F3:F21)</f>
        <v>3343.866</v>
      </c>
      <c r="C28" s="10">
        <f>SUMPRODUCT(C3:C21,F3:F21)</f>
        <v>12361.269999999999</v>
      </c>
    </row>
    <row r="29">
      <c r="A29" s="9" t="inlineStr">
        <is>
          <t>Immediate — SUPERWOOD required (t)</t>
        </is>
      </c>
      <c r="B29" s="10">
        <f>SUM(P3:P21)</f>
        <v>1234.0078919999999</v>
      </c>
      <c r="C29" s="10">
        <f>SUM(T3:T21)</f>
        <v>2685.4088039999997</v>
      </c>
    </row>
    <row r="30">
      <c r="A30" s="9" t="inlineStr">
        <is>
          <t>Immediate — SUPERWOOD required (sf)</t>
        </is>
      </c>
      <c r="B30" s="10">
        <f>B29*1000/Derived!B6</f>
        <v>1419097.8762795602</v>
      </c>
      <c r="C30" s="10">
        <f>C29*1000/Derived!C6</f>
        <v>3088195.7525591203</v>
      </c>
    </row>
    <row r="31">
      <c r="A31" s="9" t="inlineStr">
        <is>
          <t>Immediate — years of SuperMill One output</t>
        </is>
      </c>
      <c r="B31" s="11">
        <f>B29/Derived!B7</f>
        <v>1.4190978762795603</v>
      </c>
      <c r="C31" s="11">
        <f>C29/Derived!C7</f>
        <v>3.0881957525591206</v>
      </c>
    </row>
    <row r="33">
      <c r="A33" s="9" t="inlineStr">
        <is>
          <t>Soon — incumbent mass replaced (t)</t>
        </is>
      </c>
      <c r="B33" s="10">
        <f>SUMPRODUCT(B3:B21,G3:G21)</f>
        <v>11500.0</v>
      </c>
      <c r="C33" s="10">
        <f>SUMPRODUCT(C3:C21,G3:G21)</f>
        <v>30000.0</v>
      </c>
    </row>
    <row r="34">
      <c r="A34" s="9" t="inlineStr">
        <is>
          <t>Soon — SUPERWOOD required (t)</t>
        </is>
      </c>
      <c r="B34" s="10">
        <f>SUM(Q3:Q21)</f>
        <v>3450.0</v>
      </c>
      <c r="C34" s="10">
        <f>SUM(U3:U21)</f>
        <v>18000.0</v>
      </c>
    </row>
    <row r="35">
      <c r="A35" s="9" t="inlineStr">
        <is>
          <t>Soon — years of SuperMill Two output</t>
        </is>
      </c>
      <c r="B35" s="11">
        <f>B34/Derived!B8</f>
        <v>0.11020746357603078</v>
      </c>
      <c r="C35" s="11">
        <f>C34/Derived!C8</f>
        <v>0.5749954621358128</v>
      </c>
    </row>
    <row r="37">
      <c r="A37" s="9" t="inlineStr">
        <is>
          <t>Medium term — incumbent mass replaced (t)</t>
        </is>
      </c>
      <c r="B37" s="10">
        <f>SUMPRODUCT(B3:B21,H3:H21)</f>
        <v>53000.0</v>
      </c>
      <c r="C37" s="10">
        <f>SUMPRODUCT(C3:C21,H3:H21)</f>
        <v>108000.0</v>
      </c>
    </row>
    <row r="38">
      <c r="A38" s="9" t="inlineStr">
        <is>
          <t>Medium term — SUPERWOOD required (t)</t>
        </is>
      </c>
      <c r="B38" s="10">
        <f>SUM(R3:R21)</f>
        <v>15900.0</v>
      </c>
      <c r="C38" s="10">
        <f>SUM(V3:V21)</f>
        <v>64800.0</v>
      </c>
    </row>
    <row r="39">
      <c r="A39" s="9" t="inlineStr">
        <is>
          <t>Medium term — years of SuperMill Two output</t>
        </is>
      </c>
      <c r="B39" s="11">
        <f>B38/Derived!B8</f>
        <v>0.507912658219968</v>
      </c>
      <c r="C39" s="11">
        <f>C38/Derived!C8</f>
        <v>2.069983663688926</v>
      </c>
    </row>
    <row r="41">
      <c r="A41" s="9" t="inlineStr">
        <is>
          <t>Long term — incumbent mass replaced (t)</t>
        </is>
      </c>
      <c r="B41" s="10">
        <f>SUMPRODUCT(B3:B21,I3:I21)</f>
        <v>996300.0</v>
      </c>
      <c r="C41" s="10">
        <f>SUMPRODUCT(C3:C21,I3:I21)</f>
        <v>2061000.0</v>
      </c>
    </row>
    <row r="42">
      <c r="A42" s="9" t="inlineStr">
        <is>
          <t>Long term — SUPERWOOD required (t)</t>
        </is>
      </c>
      <c r="B42" s="10">
        <f>SUM(S3:S21)</f>
        <v>55890.0</v>
      </c>
      <c r="C42" s="10">
        <f>SUM(W3:W21)</f>
        <v>345600.0</v>
      </c>
    </row>
    <row r="43">
      <c r="A43" s="9" t="inlineStr">
        <is>
          <t>Long term — years of SuperMill Two output</t>
        </is>
      </c>
      <c r="B43" s="11">
        <f>B42/Derived!B8</f>
        <v>1.7853609099316987</v>
      </c>
      <c r="C43" s="11">
        <f>C42/Derived!C8</f>
        <v>11.039912873007607</v>
      </c>
    </row>
    <row r="45">
      <c r="A45" s="7" t="inlineStr">
        <is>
          <t>Cumulative incumbent mass replaced (t)</t>
        </is>
      </c>
      <c r="B45" s="8">
        <f>SUM(J3:J21)</f>
        <v>1064143.866</v>
      </c>
      <c r="C45" s="8">
        <f>SUM(K3:K21)</f>
        <v>2211361.27</v>
      </c>
    </row>
    <row r="46">
      <c r="A46" s="7" t="inlineStr">
        <is>
          <t>Cumulative SUPERWOOD required (t)</t>
        </is>
      </c>
      <c r="B46" s="8">
        <f>SUM(L3:L21)</f>
        <v>76474.007892</v>
      </c>
      <c r="C46" s="8">
        <f>SUM(M3:M21)</f>
        <v>431085.408804</v>
      </c>
    </row>
    <row r="47">
      <c r="A47" s="9" t="inlineStr">
        <is>
          <t>Cumulative years of SuperMill Two output</t>
        </is>
      </c>
      <c r="B47" s="11">
        <f>B46/Derived!B8</f>
        <v>2.4429004171799074</v>
      </c>
      <c r="C47" s="11">
        <f>C46/Derived!C8</f>
        <v>13.77067521418121</v>
      </c>
    </row>
    <row r="48">
      <c r="A48" s="9" t="inlineStr">
        <is>
          <t>Share of total mass replaced</t>
        </is>
      </c>
      <c r="B48" s="12">
        <f>B45/B24</f>
        <v>0.7681442074541224</v>
      </c>
      <c r="C48" s="12">
        <f>C45/C24</f>
        <v>0.7690724964101642</v>
      </c>
    </row>
    <row r="49">
      <c r="A49" s="9" t="inlineStr">
        <is>
          <t>Share of ex-concrete mass replaced through the medium term (excludes foundations)</t>
        </is>
      </c>
      <c r="B49" s="12">
        <f>(B45-B41)/B25</f>
        <v>0.36604322260117284</v>
      </c>
      <c r="C49" s="12">
        <f>(C45-C41)/C25</f>
        <v>0.3163094671132968</v>
      </c>
    </row>
    <row r="50">
      <c r="A50" s="7" t="inlineStr">
        <is>
          <t>Not replaced by SUPERWOOD (t)</t>
        </is>
      </c>
      <c r="B50" s="8">
        <f>B24-B45</f>
        <v>321200.0</v>
      </c>
      <c r="C50" s="8">
        <f>C24-C45</f>
        <v>664000.0</v>
      </c>
    </row>
    <row r="51">
      <c r="A51" s="9" t="inlineStr">
        <is>
          <t>Not replaced, share of total</t>
        </is>
      </c>
      <c r="B51" s="12">
        <f>B50/B24</f>
        <v>0.23185579254587757</v>
      </c>
      <c r="C51" s="12">
        <f>C50/C24</f>
        <v>0.23092750358983585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3">
        <f>Inputs!$B$3*Inputs!$B$2/Inputs!$B$4</f>
        <v>5.0</v>
      </c>
      <c r="C2" s="13">
        <f>Inputs!$C$3*Inputs!$C$2/Inputs!$C$4</f>
        <v>10.0</v>
      </c>
      <c r="D2" t="inlineStr">
        <is>
          <t>count</t>
        </is>
      </c>
    </row>
    <row r="3">
      <c r="A3" t="inlineStr">
        <is>
          <t>Exterior wall area, sf</t>
        </is>
      </c>
      <c r="B3" s="13">
        <f>B2*Inputs!$B$5</f>
        <v>800000.0</v>
      </c>
      <c r="C3" s="13">
        <f>C2*Inputs!$C$5</f>
        <v>1600000.0</v>
      </c>
      <c r="D3" t="inlineStr">
        <is>
          <t>sf</t>
        </is>
      </c>
    </row>
    <row r="4">
      <c r="A4" t="inlineStr">
        <is>
          <t>Exterior wall area, m²</t>
        </is>
      </c>
      <c r="B4" s="13">
        <f>B3*0.092903</f>
        <v>74322.4</v>
      </c>
      <c r="C4" s="13">
        <f>C3*0.092903</f>
        <v>148644.8</v>
      </c>
      <c r="D4" t="inlineStr">
        <is>
          <t>m²</t>
        </is>
      </c>
    </row>
    <row r="5">
      <c r="A5" t="inlineStr">
        <is>
          <t>Fence face area, sf</t>
        </is>
      </c>
      <c r="B5" s="13">
        <f>Inputs!$B$7*1000*Inputs!$B$8/0.092903</f>
        <v>269097.8762795604</v>
      </c>
      <c r="C5" s="13">
        <f>Inputs!$C$7*1000*Inputs!$C$8/0.092903</f>
        <v>538195.7525591208</v>
      </c>
      <c r="D5" t="inlineStr">
        <is>
          <t>sf</t>
        </is>
      </c>
    </row>
    <row r="6">
      <c r="A6" t="inlineStr">
        <is>
          <t>SUPERWOOD board mass per sf</t>
        </is>
      </c>
      <c r="B6" s="13">
        <f>Inputs!$B$35/1000*Inputs!$B$36*0.092903</f>
        <v>0.86957208</v>
      </c>
      <c r="C6" s="13">
        <f>Inputs!$C$35/1000*Inputs!$C$36*0.092903</f>
        <v>0.86957208</v>
      </c>
      <c r="D6" t="inlineStr">
        <is>
          <t>kg/sf</t>
        </is>
      </c>
    </row>
    <row r="7">
      <c r="A7" t="inlineStr">
        <is>
          <t>SuperMill One output in tonnes</t>
        </is>
      </c>
      <c r="B7" s="13">
        <f>Inputs!$B$37*B6/1000</f>
        <v>869.5720799999999</v>
      </c>
      <c r="C7" s="13">
        <f>Inputs!$C$37*C6/1000</f>
        <v>869.5720799999999</v>
      </c>
      <c r="D7" t="inlineStr">
        <is>
          <t>t/yr</t>
        </is>
      </c>
    </row>
    <row r="8">
      <c r="A8" t="inlineStr">
        <is>
          <t>SuperMill Two output in tonnes</t>
        </is>
      </c>
      <c r="B8" s="13">
        <f>Inputs!$B$38*B6/1000</f>
        <v>31304.59488</v>
      </c>
      <c r="C8" s="13">
        <f>Inputs!$C$38*C6/1000</f>
        <v>31304.59488</v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'1 GW data center'!B28*Inputs!$B$43</f>
        <v>6018.9588</v>
      </c>
      <c r="C2" s="4">
        <f>'1 GW data center'!C28*Inputs!$C$43</f>
        <v>22250.285999999996</v>
      </c>
      <c r="D2" s="4">
        <f>'1 GW data center'!B29*Inputs!$B$45</f>
        <v>617.0039459999999</v>
      </c>
      <c r="E2" s="4">
        <f>'1 GW data center'!C29*Inputs!$C$45</f>
        <v>1342.7044019999998</v>
      </c>
      <c r="F2" s="4">
        <f>B2-D2</f>
        <v>5401.9548540000005</v>
      </c>
      <c r="G2" s="4">
        <f>C2-E2</f>
        <v>20907.581597999997</v>
      </c>
      <c r="H2" s="4">
        <f>'1 GW data center'!B28*Inputs!$B$44-D2</f>
        <v>720.5424540000002</v>
      </c>
      <c r="I2" s="4">
        <f>'1 GW data center'!C28*Inputs!$C$44-E2</f>
        <v>7310.184598</v>
      </c>
      <c r="J2" s="4">
        <f>'1 GW data center'!B29*Inputs!$B$46</f>
        <v>1604.2102596</v>
      </c>
      <c r="K2" s="4">
        <f>'1 GW data center'!C29*Inputs!$C$46</f>
        <v>3491.0314452</v>
      </c>
    </row>
    <row r="3">
      <c r="A3" t="inlineStr">
        <is>
          <t>Soon (steel)</t>
        </is>
      </c>
      <c r="B3" s="4">
        <f>'1 GW data center'!B33*Inputs!$B$43</f>
        <v>20700.0</v>
      </c>
      <c r="C3" s="4">
        <f>'1 GW data center'!C33*Inputs!$C$43</f>
        <v>54000.0</v>
      </c>
      <c r="D3" s="4">
        <f>'1 GW data center'!B34*Inputs!$B$45</f>
        <v>1725.0</v>
      </c>
      <c r="E3" s="4">
        <f>'1 GW data center'!C34*Inputs!$C$45</f>
        <v>9000.0</v>
      </c>
      <c r="F3" s="4">
        <f>B3-D3</f>
        <v>18975.0</v>
      </c>
      <c r="G3" s="4">
        <f>C3-E3</f>
        <v>45000.0</v>
      </c>
      <c r="H3" s="4">
        <f>'1 GW data center'!B33*Inputs!$B$44-D3</f>
        <v>2875.0</v>
      </c>
      <c r="I3" s="4">
        <f>'1 GW data center'!C33*Inputs!$C$44-E3</f>
        <v>12000.0</v>
      </c>
      <c r="J3" s="4">
        <f>'1 GW data center'!B34*Inputs!$B$46</f>
        <v>4485.0</v>
      </c>
      <c r="K3" s="4">
        <f>'1 GW data center'!C34*Inputs!$C$46</f>
        <v>23400.0</v>
      </c>
    </row>
    <row r="4">
      <c r="A4" t="inlineStr">
        <is>
          <t>Medium term (steel)</t>
        </is>
      </c>
      <c r="B4" s="4">
        <f>'1 GW data center'!B37*Inputs!$B$43</f>
        <v>95400.0</v>
      </c>
      <c r="C4" s="4">
        <f>'1 GW data center'!C37*Inputs!$C$43</f>
        <v>194400.0</v>
      </c>
      <c r="D4" s="4">
        <f>'1 GW data center'!B38*Inputs!$B$45</f>
        <v>7950.0</v>
      </c>
      <c r="E4" s="4">
        <f>'1 GW data center'!C38*Inputs!$C$45</f>
        <v>32400.0</v>
      </c>
      <c r="F4" s="4">
        <f>B4-D4</f>
        <v>87450.0</v>
      </c>
      <c r="G4" s="4">
        <f>C4-E4</f>
        <v>162000.0</v>
      </c>
      <c r="H4" s="4">
        <f>'1 GW data center'!B37*Inputs!$B$44-D4</f>
        <v>13250.0</v>
      </c>
      <c r="I4" s="4">
        <f>'1 GW data center'!C37*Inputs!$C$44-E4</f>
        <v>43200.0</v>
      </c>
      <c r="J4" s="4">
        <f>'1 GW data center'!B38*Inputs!$B$46</f>
        <v>20670.0</v>
      </c>
      <c r="K4" s="4">
        <f>'1 GW data center'!C38*Inputs!$C$46</f>
        <v>84240.0</v>
      </c>
    </row>
    <row r="5">
      <c r="A5" t="inlineStr">
        <is>
          <t>Long term (foundation concrete)</t>
        </is>
      </c>
      <c r="B5" s="4">
        <f>'1 GW data center'!B41*Inputs!$B$34</f>
        <v>119556.0</v>
      </c>
      <c r="C5" s="4">
        <f>'1 GW data center'!C41*Inputs!$C$34</f>
        <v>247320.0</v>
      </c>
      <c r="D5" s="4">
        <f>'1 GW data center'!B42*Inputs!$B$45</f>
        <v>27945.0</v>
      </c>
      <c r="E5" s="4">
        <f>'1 GW data center'!C42*Inputs!$C$45</f>
        <v>172800.0</v>
      </c>
      <c r="F5" s="4">
        <f>B5-D5</f>
        <v>91611.0</v>
      </c>
      <c r="G5" s="4">
        <f>C5-E5</f>
        <v>74520.0</v>
      </c>
      <c r="H5" s="4" t="str">
        <f>"n/a"</f>
        <v>n/a</v>
      </c>
      <c r="I5" s="4" t="str">
        <f>"n/a"</f>
        <v>n/a</v>
      </c>
      <c r="J5" s="4">
        <f>'1 GW data center'!B42*Inputs!$B$46</f>
        <v>72657.0</v>
      </c>
      <c r="K5" s="4">
        <f>'1 GW data center'!C42*Inputs!$C$46</f>
        <v>449280.0</v>
      </c>
    </row>
    <row r="7">
      <c r="A7" t="inlineStr">
        <is>
          <t>Pre-LCA projections (LCA under way with Prof. Ming Hu, University of Notre Dame). Long-term row uses a concrete factor (Inputs co2_conc) and treats the rebar in foundations at the concrete factor — conservative. Biogenic storage reported separately (EN 15804 module C).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2026-09-02T06:10:33Z</dcterms:created>
  <dcterms:modified xmlns:dcterms="http://purl.org/dc/terms/" xmlns:xsi="http://www.w3.org/2001/XMLSchema-instance" xsi:type="dcterms:W3CDTF">2026-09-02T06:10:33Z</dcterms:modified>
</cp:coreProperties>
</file>