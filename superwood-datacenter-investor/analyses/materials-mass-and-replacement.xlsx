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1 GW data center" sheetId="3" state="visible" r:id="rId3"/>
    <sheet xmlns:r="http://schemas.openxmlformats.org/officeDocument/2006/relationships" name="Derived" sheetId="4" state="visible" r:id="rId4"/>
    <sheet xmlns:r="http://schemas.openxmlformats.org/officeDocument/2006/relationships" name="Carbon" sheetId="5" state="visible" r:id="rId5"/>
    <sheet xmlns:r="http://schemas.openxmlformats.org/officeDocument/2006/relationships" name="Steel sh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4ECD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150C"/>
      </patternFill>
    </fill>
    <fill>
      <patternFill patternType="solid">
        <fgColor rgb="00FFF4D6"/>
      </patternFill>
    </fill>
    <fill>
      <patternFill patternType="solid">
        <fgColor rgb="00F2EDE4"/>
      </patternFill>
    </fill>
    <fill>
      <patternFill patternType="solid">
        <fgColor rgb="00E8D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5" borderId="0" pivotButton="0" quotePrefix="0" xfId="0"/>
    <xf numFmtId="3" fontId="0" fillId="0" borderId="0" pivotButton="0" quotePrefix="0" xfId="0"/>
    <xf numFmtId="3" fontId="0" fillId="4" borderId="0" pivotButton="0" quotePrefix="0" xfId="0"/>
    <xf numFmtId="9" fontId="0" fillId="3" borderId="0" pivotButton="0" quotePrefix="0" xfId="0"/>
    <xf numFmtId="2" fontId="0" fillId="4" borderId="0" pivotButton="0" quotePrefix="0" xfId="0"/>
    <xf numFmtId="2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4" fontId="0" fillId="4" borderId="0" pivotButton="0" quotePrefix="0" xfId="0"/>
    <xf numFmtId="9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 case, tons per data center — replaced by SUPERWOOD vs not (slab concrete row excluded)</a:t>
            </a:r>
          </a:p>
        </rich>
      </tx>
    </title>
    <plotArea>
      <barChart>
        <barDir val="bar"/>
        <grouping val="stacked"/>
        <ser>
          <idx val="0"/>
          <order val="0"/>
          <tx>
            <v>Replaced by SUPERWOOD (high)</v>
          </tx>
          <spPr>
            <a:solidFill xmlns:a="http://schemas.openxmlformats.org/drawingml/2006/main">
              <a:srgbClr val="E2B877"/>
            </a:solidFill>
            <a:ln xmlns:a="http://schemas.openxmlformats.org/drawingml/2006/main">
              <a:prstDash val="solid"/>
            </a:ln>
          </spPr>
          <cat>
            <numRef>
              <f>'1 GW data center'!$A$3:$A$21</f>
            </numRef>
          </cat>
          <val>
            <numRef>
              <f>'1 GW data center'!$K$3:$K$21</f>
            </numRef>
          </val>
        </ser>
        <ser>
          <idx val="1"/>
          <order val="1"/>
          <tx>
            <v>Not replaced (high)</v>
          </tx>
          <spPr>
            <a:solidFill xmlns:a="http://schemas.openxmlformats.org/drawingml/2006/main">
              <a:srgbClr val="9D8D76"/>
            </a:solidFill>
            <a:ln xmlns:a="http://schemas.openxmlformats.org/drawingml/2006/main">
              <a:prstDash val="solid"/>
            </a:ln>
          </spPr>
          <cat>
            <numRef>
              <f>'1 GW data center'!$A$3:$A$21</f>
            </numRef>
          </cat>
          <val>
            <numRef>
              <f>'1 GW data center'!$O$3:$O$21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tons per data center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SUPERWOOD × Data Centers — material mass, embodied carbon and replacement model (2026-09-04, v3)</t>
        </is>
      </c>
    </row>
    <row r="2">
      <c r="A2" t="inlineStr"/>
    </row>
    <row r="3">
      <c r="A3" t="inlineStr">
        <is>
          <t>Reference unit: 1 GW IT-load data center. Change any yellow cell on Inputs (and the four addressable-share columns on 1 GW data center — immediate, soon, medium term, long term; a row may split across them); everything recalculates.</t>
        </is>
      </c>
    </row>
    <row r="4">
      <c r="A4" t="inlineStr">
        <is>
          <t>Low column = every low input; High column = every high input. These are scenario bounds, not a distribution — vary single inputs for sensitivities.</t>
        </is>
      </c>
    </row>
    <row r="5">
      <c r="A5" t="inlineStr"/>
    </row>
    <row r="6">
      <c r="A6" t="inlineStr">
        <is>
          <t>Read the sheet 1 GW data center top to bottom: building structure and envelope first, then contents, with a running cumulative total. The right-hand columns show, for each component, the addressable share in each of the four horizons, the mass replaced, and the SUPERWOOD required (per-horizon SUPERWOOD split sits in grouped helper columns P–W). The summary block and chart follow.</t>
        </is>
      </c>
    </row>
    <row r="7">
      <c r="A7" t="inlineStr">
        <is>
          <t>Horizons: Immediate (shipping now, no assembly rating) · Soon (certification-gated non-structural: platforms, railings, barriers, racking, doors) · Medium term (structural steel, roof trusses and roofs, ducting, enclosures) · Long term (foundations). Switch Inputs walls_precast to 1 to model precast perimeter walls; foundation_share and conc_sub_factor drive the long-term row.</t>
        </is>
      </c>
    </row>
    <row r="8">
      <c r="A8" t="inlineStr"/>
    </row>
    <row r="9">
      <c r="A9" t="inlineStr">
        <is>
          <t>Provenance: concrete and structural-steel intensities are published, secondary (arXiv 2509.21312 citing Hasan 2022 / Sharma 2023, conf M); GB200 rack mass is NVIDIA-published (conf H). Everything else is estimated [conf: L] — replace with a real material takeoff from HITT, Turner or Fast + Epp before external use.</t>
        </is>
      </c>
    </row>
    <row r="10">
      <c r="A10" t="inlineStr">
        <is>
          <t>Embodied carbon: columns X–AB on the main sheet value each row at its own factor (concrete, steel, mixed; equipment not estimated), with totals and steel/concrete shares in the summary; the Carbon sheet rolls avoided emissions up by horizon at those factors and at the recycled-steel (EAF) factor. Steel share: the Steel share sheet estimates what fraction of above-ground mass, contents included, is steel (per-component steel fractions are yellow inputs).</t>
        </is>
      </c>
    </row>
    <row r="11">
      <c r="A11" t="inlineStr">
        <is>
          <t>Companion narrative: materials-mass-and-replacement.md in the same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26" customWidth="1" min="5" max="5"/>
    <col width="70" customWidth="1" min="6" max="6"/>
  </cols>
  <sheetData>
    <row r="1">
      <c r="A1" s="1" t="inlineStr">
        <is>
          <t>Parameter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  <c r="E1" s="1" t="inlineStr">
        <is>
          <t>Label / confidence</t>
        </is>
      </c>
      <c r="F1" s="1" t="inlineStr">
        <is>
          <t>Note</t>
        </is>
      </c>
    </row>
    <row r="2">
      <c r="A2" t="inlineStr">
        <is>
          <t>IT load of reference data center</t>
        </is>
      </c>
      <c r="B2" s="2" t="n">
        <v>1000</v>
      </c>
      <c r="C2" s="2" t="n">
        <v>1000</v>
      </c>
      <c r="D2" t="inlineStr">
        <is>
          <t>MW</t>
        </is>
      </c>
      <c r="E2" t="inlineStr">
        <is>
          <t>assumption</t>
        </is>
      </c>
      <c r="F2" t="inlineStr">
        <is>
          <t>Everything downstream is linear in this</t>
        </is>
      </c>
    </row>
    <row r="3">
      <c r="A3" t="inlineStr">
        <is>
          <t>Building area per MW</t>
        </is>
      </c>
      <c r="B3" s="2" t="n">
        <v>5000</v>
      </c>
      <c r="C3" s="2" t="n">
        <v>10000</v>
      </c>
      <c r="D3" t="inlineStr">
        <is>
          <t>sf/MW</t>
        </is>
      </c>
      <c r="E3" t="inlineStr">
        <is>
          <t>estimated [L]</t>
        </is>
      </c>
      <c r="F3" t="inlineStr">
        <is>
          <t>Hyperscale, single-story</t>
        </is>
      </c>
    </row>
    <row r="4">
      <c r="A4" t="inlineStr">
        <is>
          <t>Footprint per building</t>
        </is>
      </c>
      <c r="B4" s="2" t="n">
        <v>1000000</v>
      </c>
      <c r="C4" s="2" t="n">
        <v>1000000</v>
      </c>
      <c r="D4" t="inlineStr">
        <is>
          <t>sf</t>
        </is>
      </c>
      <c r="E4" t="inlineStr">
        <is>
          <t>estimated [L]</t>
        </is>
      </c>
      <c r="F4" t="inlineStr">
        <is>
          <t>~1,000 ft sides</t>
        </is>
      </c>
    </row>
    <row r="5">
      <c r="A5" t="inlineStr">
        <is>
          <t>Exterior wall area per building</t>
        </is>
      </c>
      <c r="B5" s="2" t="n">
        <v>160000</v>
      </c>
      <c r="C5" s="2" t="n">
        <v>160000</v>
      </c>
      <c r="D5" t="inlineStr">
        <is>
          <t>sf</t>
        </is>
      </c>
      <c r="E5" t="inlineStr">
        <is>
          <t>derived</t>
        </is>
      </c>
      <c r="F5" t="inlineStr">
        <is>
          <t>4 × 1,000 ft × 40 ft eave</t>
        </is>
      </c>
    </row>
    <row r="6">
      <c r="A6" t="inlineStr">
        <is>
          <t>Yard / mechanical screens and louvers (per data center)</t>
        </is>
      </c>
      <c r="B6" s="2" t="n">
        <v>200000</v>
      </c>
      <c r="C6" s="2" t="n">
        <v>500000</v>
      </c>
      <c r="D6" t="inlineStr">
        <is>
          <t>sf</t>
        </is>
      </c>
      <c r="E6" t="inlineStr">
        <is>
          <t>estimated [L]</t>
        </is>
      </c>
      <c r="F6" t="inlineStr"/>
    </row>
    <row r="7">
      <c r="A7" t="inlineStr">
        <is>
          <t>Perimeter + yard fence length</t>
        </is>
      </c>
      <c r="B7" s="2" t="n">
        <v>10</v>
      </c>
      <c r="C7" s="2" t="n">
        <v>20</v>
      </c>
      <c r="D7" t="inlineStr">
        <is>
          <t>km</t>
        </is>
      </c>
      <c r="E7" t="inlineStr">
        <is>
          <t>estimated [L]</t>
        </is>
      </c>
      <c r="F7" t="inlineStr">
        <is>
          <t>Data center perimeter plus transformer / generator yards</t>
        </is>
      </c>
    </row>
    <row r="8">
      <c r="A8" t="inlineStr">
        <is>
          <t>Fence height</t>
        </is>
      </c>
      <c r="B8" s="2" t="n">
        <v>2.5</v>
      </c>
      <c r="C8" s="2" t="n">
        <v>2.5</v>
      </c>
      <c r="D8" t="inlineStr">
        <is>
          <t>m</t>
        </is>
      </c>
      <c r="E8" t="inlineStr">
        <is>
          <t>assumption</t>
        </is>
      </c>
      <c r="F8" t="inlineStr"/>
    </row>
    <row r="9">
      <c r="A9" t="inlineStr">
        <is>
          <t>Biophilic interior paneling (admin / office wings)</t>
        </is>
      </c>
      <c r="B9" s="2" t="n">
        <v>100000</v>
      </c>
      <c r="C9" s="2" t="n">
        <v>300000</v>
      </c>
      <c r="D9" t="inlineStr">
        <is>
          <t>sf</t>
        </is>
      </c>
      <c r="E9" t="inlineStr">
        <is>
          <t>estimated [L]</t>
        </is>
      </c>
      <c r="F9" t="inlineStr"/>
    </row>
    <row r="10">
      <c r="A10" t="inlineStr">
        <is>
          <t>Backplanes, trim, door kicks, sub-framing</t>
        </is>
      </c>
      <c r="B10" s="2" t="n">
        <v>50000</v>
      </c>
      <c r="C10" s="2" t="n">
        <v>150000</v>
      </c>
      <c r="D10" t="inlineStr">
        <is>
          <t>sf</t>
        </is>
      </c>
      <c r="E10" t="inlineStr">
        <is>
          <t>estimated [L]</t>
        </is>
      </c>
      <c r="F10" t="inlineStr"/>
    </row>
    <row r="11">
      <c r="A11" t="inlineStr">
        <is>
          <t>Concrete intensity (all concrete)</t>
        </is>
      </c>
      <c r="B11" s="2" t="n">
        <v>500</v>
      </c>
      <c r="C11" s="2" t="n">
        <v>1000</v>
      </c>
      <c r="D11" t="inlineStr">
        <is>
          <t>m³/MW</t>
        </is>
      </c>
      <c r="E11" t="inlineStr">
        <is>
          <t>published, secondary [M]</t>
        </is>
      </c>
      <c r="F11" t="inlineStr">
        <is>
          <t>arXiv 2509.21312 citing Hasan 2022 / Sharma 2023: 5,000–10,000 m³ per 10 MW</t>
        </is>
      </c>
    </row>
    <row r="12">
      <c r="A12" t="inlineStr">
        <is>
          <t>Concrete density</t>
        </is>
      </c>
      <c r="B12" s="2" t="n">
        <v>2.4</v>
      </c>
      <c r="C12" s="2" t="n">
        <v>2.4</v>
      </c>
      <c r="D12" t="inlineStr">
        <is>
          <t>t/m³</t>
        </is>
      </c>
      <c r="E12" t="inlineStr">
        <is>
          <t>published [H]</t>
        </is>
      </c>
      <c r="F12" t="inlineStr"/>
    </row>
    <row r="13">
      <c r="A13" t="inlineStr">
        <is>
          <t>Walls are precast? (1 = yes, 0 = metal panel)</t>
        </is>
      </c>
      <c r="B13" s="2" t="n">
        <v>0</v>
      </c>
      <c r="C13" s="2" t="n">
        <v>0</v>
      </c>
      <c r="D13" t="inlineStr">
        <is>
          <t>flag</t>
        </is>
      </c>
      <c r="E13" t="inlineStr">
        <is>
          <t>choice</t>
        </is>
      </c>
      <c r="F13" t="inlineStr">
        <is>
          <t>1: facade mass moves from metal skins (immediate) to precast panels (long term)</t>
        </is>
      </c>
    </row>
    <row r="14">
      <c r="A14" t="inlineStr">
        <is>
          <t>Precast / tilt-up wall thickness</t>
        </is>
      </c>
      <c r="B14" s="2" t="n">
        <v>0.2</v>
      </c>
      <c r="C14" s="2" t="n">
        <v>0.2</v>
      </c>
      <c r="D14" t="inlineStr">
        <is>
          <t>m</t>
        </is>
      </c>
      <c r="E14" t="inlineStr">
        <is>
          <t>estimated [L]</t>
        </is>
      </c>
      <c r="F14" t="inlineStr">
        <is>
          <t>8 in</t>
        </is>
      </c>
    </row>
    <row r="15">
      <c r="A15" t="inlineStr">
        <is>
          <t>Structural steel intensity</t>
        </is>
      </c>
      <c r="B15" s="2" t="n">
        <v>50</v>
      </c>
      <c r="C15" s="2" t="n">
        <v>100</v>
      </c>
      <c r="D15" t="inlineStr">
        <is>
          <t>t/MW</t>
        </is>
      </c>
      <c r="E15" t="inlineStr">
        <is>
          <t>published, secondary [M]</t>
        </is>
      </c>
      <c r="F15" t="inlineStr">
        <is>
          <t>Same source: 500–1,000 t per 10 MW</t>
        </is>
      </c>
    </row>
    <row r="16">
      <c r="A16" t="inlineStr">
        <is>
          <t>Share of structural steel that is secondary (trusses, joists, girts, deck)</t>
        </is>
      </c>
      <c r="B16" s="2" t="n">
        <v>0.4</v>
      </c>
      <c r="C16" s="2" t="n">
        <v>0.6</v>
      </c>
      <c r="D16" t="inlineStr">
        <is>
          <t>share</t>
        </is>
      </c>
      <c r="E16" t="inlineStr">
        <is>
          <t>estimated [L]</t>
        </is>
      </c>
      <c r="F16" t="inlineStr">
        <is>
          <t>Remainder = primary frame</t>
        </is>
      </c>
    </row>
    <row r="17">
      <c r="A17" t="inlineStr">
        <is>
          <t>Rebar per m³ of concrete</t>
        </is>
      </c>
      <c r="B17" s="2" t="n">
        <v>60</v>
      </c>
      <c r="C17" s="2" t="n">
        <v>100</v>
      </c>
      <c r="D17" t="inlineStr">
        <is>
          <t>kg/m³</t>
        </is>
      </c>
      <c r="E17" t="inlineStr">
        <is>
          <t>estimated [L]</t>
        </is>
      </c>
      <c r="F17" t="inlineStr"/>
    </row>
    <row r="18">
      <c r="A18" t="inlineStr">
        <is>
          <t>Platforms, walkways, mezzanines, railings, tray supports</t>
        </is>
      </c>
      <c r="B18" s="2" t="n">
        <v>5</v>
      </c>
      <c r="C18" s="2" t="n">
        <v>15</v>
      </c>
      <c r="D18" t="inlineStr">
        <is>
          <t>t/MW</t>
        </is>
      </c>
      <c r="E18" t="inlineStr">
        <is>
          <t>estimated [L]</t>
        </is>
      </c>
      <c r="F18" t="inlineStr"/>
    </row>
    <row r="19">
      <c r="A19" t="inlineStr">
        <is>
          <t>Metal panel / IMP cladding mass</t>
        </is>
      </c>
      <c r="B19" s="2" t="n">
        <v>25</v>
      </c>
      <c r="C19" s="2" t="n">
        <v>50</v>
      </c>
      <c r="D19" t="inlineStr">
        <is>
          <t>kg/m²</t>
        </is>
      </c>
      <c r="E19" t="inlineStr">
        <is>
          <t>estimated [L]</t>
        </is>
      </c>
      <c r="F19" t="inlineStr"/>
    </row>
    <row r="20">
      <c r="A20" t="inlineStr">
        <is>
          <t>Louver / screen system mass</t>
        </is>
      </c>
      <c r="B20" s="2" t="n">
        <v>10</v>
      </c>
      <c r="C20" s="2" t="n">
        <v>20</v>
      </c>
      <c r="D20" t="inlineStr">
        <is>
          <t>kg/m²</t>
        </is>
      </c>
      <c r="E20" t="inlineStr">
        <is>
          <t>estimated [L]</t>
        </is>
      </c>
      <c r="F20" t="inlineStr"/>
    </row>
    <row r="21">
      <c r="A21" t="inlineStr">
        <is>
          <t>Steel fence mass per running metre</t>
        </is>
      </c>
      <c r="B21" s="2" t="n">
        <v>30</v>
      </c>
      <c r="C21" s="2" t="n">
        <v>50</v>
      </c>
      <c r="D21" t="inlineStr">
        <is>
          <t>kg/m</t>
        </is>
      </c>
      <c r="E21" t="inlineStr">
        <is>
          <t>estimated [L]</t>
        </is>
      </c>
      <c r="F21" t="inlineStr">
        <is>
          <t>Palisade / chain-link with posts</t>
        </is>
      </c>
    </row>
    <row r="22">
      <c r="A22" t="inlineStr">
        <is>
          <t>Acoustic barriers, enclosures, HVAC separations</t>
        </is>
      </c>
      <c r="B22" s="2" t="n">
        <v>2</v>
      </c>
      <c r="C22" s="2" t="n">
        <v>5</v>
      </c>
      <c r="D22" t="inlineStr">
        <is>
          <t>t/MW</t>
        </is>
      </c>
      <c r="E22" t="inlineStr">
        <is>
          <t>estimated [L]</t>
        </is>
      </c>
      <c r="F22" t="inlineStr"/>
    </row>
    <row r="23">
      <c r="A23" t="inlineStr">
        <is>
          <t>Racking and equipment supports</t>
        </is>
      </c>
      <c r="B23" s="2" t="n">
        <v>2</v>
      </c>
      <c r="C23" s="2" t="n">
        <v>5</v>
      </c>
      <c r="D23" t="inlineStr">
        <is>
          <t>t/MW</t>
        </is>
      </c>
      <c r="E23" t="inlineStr">
        <is>
          <t>estimated [L]</t>
        </is>
      </c>
      <c r="F23" t="inlineStr"/>
    </row>
    <row r="24">
      <c r="A24" t="inlineStr">
        <is>
          <t>Other tray, containment, doors, misc. metals</t>
        </is>
      </c>
      <c r="B24" s="2" t="n">
        <v>5</v>
      </c>
      <c r="C24" s="2" t="n">
        <v>10</v>
      </c>
      <c r="D24" t="inlineStr">
        <is>
          <t>t/MW</t>
        </is>
      </c>
      <c r="E24" t="inlineStr">
        <is>
          <t>estimated [L]</t>
        </is>
      </c>
      <c r="F24" t="inlineStr"/>
    </row>
    <row r="25">
      <c r="A25" t="inlineStr">
        <is>
          <t>Interior finishes, backplanes, trim (mass)</t>
        </is>
      </c>
      <c r="B25" s="2" t="n">
        <v>1</v>
      </c>
      <c r="C25" s="2" t="n">
        <v>3</v>
      </c>
      <c r="D25" t="inlineStr">
        <is>
          <t>t/MW</t>
        </is>
      </c>
      <c r="E25" t="inlineStr">
        <is>
          <t>estimated [L]</t>
        </is>
      </c>
      <c r="F25" t="inlineStr">
        <is>
          <t>Admin / office wings only</t>
        </is>
      </c>
    </row>
    <row r="26">
      <c r="A26" t="inlineStr">
        <is>
          <t>Electrical: gensets, transformers, switchgear, UPS, busway, copper</t>
        </is>
      </c>
      <c r="B26" s="2" t="n">
        <v>50</v>
      </c>
      <c r="C26" s="2" t="n">
        <v>100</v>
      </c>
      <c r="D26" t="inlineStr">
        <is>
          <t>t/MW</t>
        </is>
      </c>
      <c r="E26" t="inlineStr">
        <is>
          <t>estimated [L]</t>
        </is>
      </c>
      <c r="F26" t="inlineStr">
        <is>
          <t>Genset 30–60 t, 1 MW UPS 10–20 t, transformer 5–8 t</t>
        </is>
      </c>
    </row>
    <row r="27">
      <c r="A27" t="inlineStr">
        <is>
          <t>Mechanical: chillers, fan walls, coolers, piping, water</t>
        </is>
      </c>
      <c r="B27" s="2" t="n">
        <v>20</v>
      </c>
      <c r="C27" s="2" t="n">
        <v>50</v>
      </c>
      <c r="D27" t="inlineStr">
        <is>
          <t>t/MW</t>
        </is>
      </c>
      <c r="E27" t="inlineStr">
        <is>
          <t>estimated [L]</t>
        </is>
      </c>
      <c r="F27" t="inlineStr"/>
    </row>
    <row r="28">
      <c r="A28" t="inlineStr">
        <is>
          <t>IT: servers and racks</t>
        </is>
      </c>
      <c r="B28" s="2" t="n">
        <v>15</v>
      </c>
      <c r="C28" s="2" t="n">
        <v>70</v>
      </c>
      <c r="D28" t="inlineStr">
        <is>
          <t>t/MW</t>
        </is>
      </c>
      <c r="E28" t="inlineStr">
        <is>
          <t>estimated [L]</t>
        </is>
      </c>
      <c r="F28" t="inlineStr">
        <is>
          <t>Loaded rack ~1 t; GB200 NVL72 ~1.36 t [H]</t>
        </is>
      </c>
    </row>
    <row r="29">
      <c r="A29" t="inlineStr">
        <is>
          <t>Share of IT mass that is server and equipment enclosures (boxes), replaceable long term</t>
        </is>
      </c>
      <c r="B29" s="2" t="n">
        <v>0.4</v>
      </c>
      <c r="C29" s="2" t="n">
        <v>0.4</v>
      </c>
      <c r="D29" t="inlineStr">
        <is>
          <t>share</t>
        </is>
      </c>
      <c r="E29" t="inlineStr">
        <is>
          <t>estimated [L]; Alex 2026-09-04</t>
        </is>
      </c>
      <c r="F29" t="inlineStr">
        <is>
          <t>Server boxes eventually; the electronics never</t>
        </is>
      </c>
    </row>
    <row r="30">
      <c r="A30" t="inlineStr">
        <is>
          <t>Share of all concrete that is foundations, footings, piers and equipment pads</t>
        </is>
      </c>
      <c r="B30" s="2" t="n">
        <v>0.4</v>
      </c>
      <c r="C30" s="2" t="n">
        <v>0.5</v>
      </c>
      <c r="D30" t="inlineStr">
        <is>
          <t>share</t>
        </is>
      </c>
      <c r="E30" t="inlineStr">
        <is>
          <t>estimated [L]</t>
        </is>
      </c>
      <c r="F30" t="inlineStr">
        <is>
          <t>Remainder is slab on grade, paving and yard</t>
        </is>
      </c>
    </row>
    <row r="31">
      <c r="A31" t="inlineStr">
        <is>
          <t>Long-term technical potential: share of slab-on-grade and paving concrete replaceable</t>
        </is>
      </c>
      <c r="B31" s="2" t="n">
        <v>0.75</v>
      </c>
      <c r="C31" s="2" t="n">
        <v>0.75</v>
      </c>
      <c r="D31" t="inlineStr">
        <is>
          <t>share</t>
        </is>
      </c>
      <c r="E31" t="inlineStr">
        <is>
          <t>asserted-internal (Alex, 2026-09-01) [L]</t>
        </is>
      </c>
      <c r="F31" t="inlineStr">
        <is>
          <t>Technical potential, not a plan; no design or code pathway yet</t>
        </is>
      </c>
    </row>
    <row r="32">
      <c r="A32" t="inlineStr">
        <is>
          <t>Long-term technical potential: share of foundations, footings, piers and pads replaceable</t>
        </is>
      </c>
      <c r="B32" s="2" t="n">
        <v>0.9</v>
      </c>
      <c r="C32" s="2" t="n">
        <v>0.9</v>
      </c>
      <c r="D32" t="inlineStr">
        <is>
          <t>share</t>
        </is>
      </c>
      <c r="E32" t="inlineStr">
        <is>
          <t>asserted-internal (Alex, 2026-09-01) [L]</t>
        </is>
      </c>
      <c r="F32" t="inlineStr">
        <is>
          <t>Technical potential, not a plan</t>
        </is>
      </c>
    </row>
    <row r="33">
      <c r="A33" t="inlineStr">
        <is>
          <t>kg SUPERWOOD per kg of concrete replaced</t>
        </is>
      </c>
      <c r="B33" s="2" t="n">
        <v>0.05</v>
      </c>
      <c r="C33" s="2" t="n">
        <v>0.15</v>
      </c>
      <c r="D33" t="inlineStr">
        <is>
          <t>kg/kg</t>
        </is>
      </c>
      <c r="E33" t="inlineStr">
        <is>
          <t>estimated [L]</t>
        </is>
      </c>
      <c r="F33" t="inlineStr">
        <is>
          <t>Lightweight insulated wood-foundation concept; no design exists yet</t>
        </is>
      </c>
    </row>
    <row r="34">
      <c r="A34" t="inlineStr">
        <is>
          <t>Ducting, plenums and air-distribution sheet metal</t>
        </is>
      </c>
      <c r="B34" s="2" t="n">
        <v>3</v>
      </c>
      <c r="C34" s="2" t="n">
        <v>8</v>
      </c>
      <c r="D34" t="inlineStr">
        <is>
          <t>t/MW</t>
        </is>
      </c>
      <c r="E34" t="inlineStr">
        <is>
          <t>estimated [L]</t>
        </is>
      </c>
      <c r="F34" t="inlineStr">
        <is>
          <t>Separate from the mechanical-equipment row</t>
        </is>
      </c>
    </row>
    <row r="35">
      <c r="A35" t="inlineStr">
        <is>
          <t>Concrete emissions</t>
        </is>
      </c>
      <c r="B35" s="2" t="n">
        <v>0.12</v>
      </c>
      <c r="C35" s="2" t="n">
        <v>0.12</v>
      </c>
      <c r="D35" t="inlineStr">
        <is>
          <t>kg CO₂e/kg</t>
        </is>
      </c>
      <c r="E35" t="inlineStr">
        <is>
          <t>industry range [M]</t>
        </is>
      </c>
      <c r="F35" t="inlineStr">
        <is>
          <t>Ready-mix, cradle to gate; typical 0.10–0.15</t>
        </is>
      </c>
    </row>
    <row r="36">
      <c r="A36" t="inlineStr">
        <is>
          <t>SUPERWOOD average board thickness</t>
        </is>
      </c>
      <c r="B36" s="2" t="n">
        <v>7.2</v>
      </c>
      <c r="C36" s="2" t="n">
        <v>7.2</v>
      </c>
      <c r="D36" t="inlineStr">
        <is>
          <t>mm</t>
        </is>
      </c>
      <c r="E36" t="inlineStr">
        <is>
          <t>internal TEM basis [H]</t>
        </is>
      </c>
      <c r="F36" t="inlineStr"/>
    </row>
    <row r="37">
      <c r="A37" t="inlineStr">
        <is>
          <t>SUPERWOOD density</t>
        </is>
      </c>
      <c r="B37" s="2" t="n">
        <v>1300</v>
      </c>
      <c r="C37" s="2" t="n">
        <v>1300</v>
      </c>
      <c r="D37" t="inlineStr">
        <is>
          <t>kg/m³</t>
        </is>
      </c>
      <c r="E37" t="inlineStr">
        <is>
          <t>internal TEM [H]</t>
        </is>
      </c>
      <c r="F37" t="inlineStr"/>
    </row>
    <row r="38">
      <c r="A38" t="inlineStr">
        <is>
          <t>SuperMill One output</t>
        </is>
      </c>
      <c r="B38" s="2" t="n">
        <v>1000000</v>
      </c>
      <c r="C38" s="2" t="n">
        <v>1000000</v>
      </c>
      <c r="D38" t="inlineStr">
        <is>
          <t>sf/yr</t>
        </is>
      </c>
      <c r="E38" t="inlineStr">
        <is>
          <t>internal [H]</t>
        </is>
      </c>
      <c r="F38" t="inlineStr"/>
    </row>
    <row r="39">
      <c r="A39" t="inlineStr">
        <is>
          <t>SuperMill Two output</t>
        </is>
      </c>
      <c r="B39" s="2" t="n">
        <v>36000000</v>
      </c>
      <c r="C39" s="2" t="n">
        <v>36000000</v>
      </c>
      <c r="D39" t="inlineStr">
        <is>
          <t>sf/yr</t>
        </is>
      </c>
      <c r="E39" t="inlineStr">
        <is>
          <t>internal [H]</t>
        </is>
      </c>
      <c r="F39" t="inlineStr"/>
    </row>
    <row r="40">
      <c r="A40" t="inlineStr">
        <is>
          <t>Structural substitution: kg SUPERWOOD per kg steel replaced</t>
        </is>
      </c>
      <c r="B40" s="2" t="n">
        <v>0.3</v>
      </c>
      <c r="C40" s="2" t="n">
        <v>0.6</v>
      </c>
      <c r="D40" t="inlineStr">
        <is>
          <t>kg/kg</t>
        </is>
      </c>
      <c r="E40" t="inlineStr">
        <is>
          <t>estimated [L]</t>
        </is>
      </c>
      <c r="F40" t="inlineStr">
        <is>
          <t>Engineering-stamped per element (Fast + Epp) before external use</t>
        </is>
      </c>
    </row>
    <row r="41">
      <c r="A41" t="inlineStr">
        <is>
          <t>SUPERWOOD in a hybrid wall panel replacing precast</t>
        </is>
      </c>
      <c r="B41" s="2" t="n">
        <v>20</v>
      </c>
      <c r="C41" s="2" t="n">
        <v>40</v>
      </c>
      <c r="D41" t="inlineStr">
        <is>
          <t>kg/m²</t>
        </is>
      </c>
      <c r="E41" t="inlineStr">
        <is>
          <t>estimated [L]</t>
        </is>
      </c>
      <c r="F41" t="inlineStr">
        <is>
          <t>Panel design unsettled</t>
        </is>
      </c>
    </row>
    <row r="42">
      <c r="A42" t="inlineStr">
        <is>
          <t>Addressable share of other tray / containment / doors (medium term)</t>
        </is>
      </c>
      <c r="B42" s="2" t="n">
        <v>0.5</v>
      </c>
      <c r="C42" s="2" t="n">
        <v>0.5</v>
      </c>
      <c r="D42" t="inlineStr">
        <is>
          <t>share</t>
        </is>
      </c>
      <c r="E42" t="inlineStr">
        <is>
          <t>estimated [L]</t>
        </is>
      </c>
      <c r="F42" t="inlineStr"/>
    </row>
    <row r="43">
      <c r="A43" t="inlineStr">
        <is>
          <t>Count rebar as addressable in the long term? (0/1)</t>
        </is>
      </c>
      <c r="B43" s="2" t="n">
        <v>0</v>
      </c>
      <c r="C43" s="2" t="n">
        <v>0</v>
      </c>
      <c r="D43" t="inlineStr">
        <is>
          <t>flag</t>
        </is>
      </c>
      <c r="E43" t="inlineStr">
        <is>
          <t>choice</t>
        </is>
      </c>
      <c r="F43" t="inlineStr">
        <is>
          <t>Rebar is a frontier market with no pathway; off by default</t>
        </is>
      </c>
    </row>
    <row r="44">
      <c r="A44" t="inlineStr">
        <is>
          <t>Steel emissions, global average (BF-BOF)</t>
        </is>
      </c>
      <c r="B44" s="2" t="n">
        <v>1.8</v>
      </c>
      <c r="C44" s="2" t="n">
        <v>1.8</v>
      </c>
      <c r="D44" t="inlineStr">
        <is>
          <t>kg CO₂e/kg</t>
        </is>
      </c>
      <c r="E44" t="inlineStr">
        <is>
          <t>published-class [M]</t>
        </is>
      </c>
      <c r="F44" t="inlineStr"/>
    </row>
    <row r="45">
      <c r="A45" t="inlineStr">
        <is>
          <t>Steel emissions, recycled (EAF)</t>
        </is>
      </c>
      <c r="B45" s="2" t="n">
        <v>0.4</v>
      </c>
      <c r="C45" s="2" t="n">
        <v>0.7</v>
      </c>
      <c r="D45" t="inlineStr">
        <is>
          <t>kg CO₂e/kg</t>
        </is>
      </c>
      <c r="E45" t="inlineStr">
        <is>
          <t>industry range [M]</t>
        </is>
      </c>
      <c r="F45" t="inlineStr"/>
    </row>
    <row r="46">
      <c r="A46" t="inlineStr">
        <is>
          <t>SUPERWOOD manufacturing emissions</t>
        </is>
      </c>
      <c r="B46" s="2" t="n">
        <v>0.5</v>
      </c>
      <c r="C46" s="2" t="n">
        <v>0.5</v>
      </c>
      <c r="D46" t="inlineStr">
        <is>
          <t>kg CO₂e/kg</t>
        </is>
      </c>
      <c r="E46" t="inlineStr">
        <is>
          <t>internal, pre-LCA [L]</t>
        </is>
      </c>
      <c r="F46" t="inlineStr">
        <is>
          <t>Canva DCII deck; LCA under way, Prof. Ming Hu, Notre Dame</t>
        </is>
      </c>
    </row>
    <row r="47">
      <c r="A47" t="inlineStr">
        <is>
          <t>SUPERWOOD biogenic carbon stored</t>
        </is>
      </c>
      <c r="B47" s="2" t="n">
        <v>1.3</v>
      </c>
      <c r="C47" s="2" t="n">
        <v>1.3</v>
      </c>
      <c r="D47" t="inlineStr">
        <is>
          <t>kg CO₂e/kg</t>
        </is>
      </c>
      <c r="E47" t="inlineStr">
        <is>
          <t>internal, pre-LCA [L]</t>
        </is>
      </c>
      <c r="F47" t="inlineStr">
        <is>
          <t>Report separately; module C release under EN 15804</t>
        </is>
      </c>
    </row>
    <row r="48">
      <c r="A48" t="inlineStr">
        <is>
          <t>Interior finishes emissions (gypsum, wood, steel studs — mixed)</t>
        </is>
      </c>
      <c r="B48" s="2" t="n">
        <v>1</v>
      </c>
      <c r="C48" s="2" t="n">
        <v>1</v>
      </c>
      <c r="D48" t="inlineStr">
        <is>
          <t>kg CO₂e/kg</t>
        </is>
      </c>
      <c r="E48" t="inlineStr">
        <is>
          <t>estimated [L]</t>
        </is>
      </c>
      <c r="F48" t="inlineStr">
        <is>
          <t>Used only for the interior finishes row</t>
        </is>
      </c>
    </row>
    <row r="49">
      <c r="A49" t="inlineStr">
        <is>
          <t>Steel share of electrical equipment mass (gensets, transformers, switchgear, UPS cabinets)</t>
        </is>
      </c>
      <c r="B49" s="2" t="n">
        <v>0.6</v>
      </c>
      <c r="C49" s="2" t="n">
        <v>0.6</v>
      </c>
      <c r="D49" t="inlineStr">
        <is>
          <t>share</t>
        </is>
      </c>
      <c r="E49" t="inlineStr">
        <is>
          <t>estimated [L]; Alex asked for the estimate 2026-09-05</t>
        </is>
      </c>
      <c r="F49" t="inlineStr">
        <is>
          <t>Cast iron and steel in engines, transformer cores and tanks, switchgear and UPS enclosures; copper, aluminum, oil and cells excluded</t>
        </is>
      </c>
    </row>
    <row r="50">
      <c r="A50" t="inlineStr">
        <is>
          <t>Steel share of mechanical equipment mass (chillers, fan walls, coolers, piping)</t>
        </is>
      </c>
      <c r="B50" s="2" t="n">
        <v>0.5</v>
      </c>
      <c r="C50" s="2" t="n">
        <v>0.5</v>
      </c>
      <c r="D50" t="inlineStr">
        <is>
          <t>share</t>
        </is>
      </c>
      <c r="E50" t="inlineStr">
        <is>
          <t>estimated [L]</t>
        </is>
      </c>
      <c r="F50" t="inlineStr">
        <is>
          <t>Shells, frames, casings and steel piping; copper tubes, aluminum coils and loop water excluded</t>
        </is>
      </c>
    </row>
    <row r="51">
      <c r="A51" t="inlineStr">
        <is>
          <t>Steel share of IT mass (rack frames, server chassis)</t>
        </is>
      </c>
      <c r="B51" s="2" t="n">
        <v>0.4</v>
      </c>
      <c r="C51" s="2" t="n">
        <v>0.4</v>
      </c>
      <c r="D51" t="inlineStr">
        <is>
          <t>share</t>
        </is>
      </c>
      <c r="E51" t="inlineStr">
        <is>
          <t>estimated [L]</t>
        </is>
      </c>
      <c r="F51" t="inlineStr">
        <is>
          <t>Same 40% enclosure share used for the long-term replacement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64" customWidth="1" min="14" max="14"/>
    <col width="16" customWidth="1" min="15" max="15"/>
    <col hidden="1" outlineLevel="1" width="11" customWidth="1" min="16" max="16"/>
    <col hidden="1" outlineLevel="1" width="11" customWidth="1" min="17" max="17"/>
    <col hidden="1" outlineLevel="1" width="11" customWidth="1" min="18" max="18"/>
    <col hidden="1" outlineLevel="1" width="11" customWidth="1" min="19" max="19"/>
    <col hidden="1" outlineLevel="1" width="11" customWidth="1" min="20" max="20"/>
    <col hidden="1" outlineLevel="1" width="11" customWidth="1" min="21" max="21"/>
    <col hidden="1" outlineLevel="1" width="11" customWidth="1" min="22" max="22"/>
    <col hidden="1" outlineLevel="1" width="11" customWidth="1" min="23" max="23"/>
    <col width="14" customWidth="1" min="24" max="24"/>
    <col width="18" customWidth="1" min="25" max="25"/>
    <col width="18" customWidth="1" min="26" max="26"/>
    <col width="14" customWidth="1" min="27" max="27"/>
    <col width="12" customWidth="1" min="28" max="28"/>
  </cols>
  <sheetData>
    <row r="1">
      <c r="A1" s="1" t="inlineStr">
        <is>
          <t>Component (building, then contents)</t>
        </is>
      </c>
      <c r="B1" s="1" t="inlineStr">
        <is>
          <t>Low  tons per data center</t>
        </is>
      </c>
      <c r="C1" s="1" t="inlineStr">
        <is>
          <t>High  tons per data center</t>
        </is>
      </c>
      <c r="D1" s="1" t="inlineStr">
        <is>
          <t>Low  cumulative t</t>
        </is>
      </c>
      <c r="E1" s="1" t="inlineStr">
        <is>
          <t>High  cumulative t</t>
        </is>
      </c>
      <c r="F1" s="1" t="inlineStr">
        <is>
          <t>Addressable — immediate</t>
        </is>
      </c>
      <c r="G1" s="1" t="inlineStr">
        <is>
          <t>Addressable — soon</t>
        </is>
      </c>
      <c r="H1" s="1" t="inlineStr">
        <is>
          <t>Addressable — medium term</t>
        </is>
      </c>
      <c r="I1" s="1" t="inlineStr">
        <is>
          <t>Addressable — long term</t>
        </is>
      </c>
      <c r="J1" s="1" t="inlineStr">
        <is>
          <t>Low  replaced t</t>
        </is>
      </c>
      <c r="K1" s="1" t="inlineStr">
        <is>
          <t>High  replaced t</t>
        </is>
      </c>
      <c r="L1" s="1" t="inlineStr">
        <is>
          <t>Low  SUPERWOOD t</t>
        </is>
      </c>
      <c r="M1" s="1" t="inlineStr">
        <is>
          <t>High  SUPERWOOD t</t>
        </is>
      </c>
      <c r="N1" s="1" t="inlineStr">
        <is>
          <t>Gate / basis</t>
        </is>
      </c>
      <c r="O1" s="1" t="inlineStr">
        <is>
          <t>High  not replaced t</t>
        </is>
      </c>
      <c r="P1" s="1" t="inlineStr">
        <is>
          <t>Low SW immediate (helper — grouped, unhide to see the per-horizon split)</t>
        </is>
      </c>
      <c r="Q1" s="1" t="inlineStr">
        <is>
          <t>Low SW soon</t>
        </is>
      </c>
      <c r="R1" s="1" t="inlineStr">
        <is>
          <t>Low SW medium</t>
        </is>
      </c>
      <c r="S1" s="1" t="inlineStr">
        <is>
          <t>Low SW long</t>
        </is>
      </c>
      <c r="T1" s="1" t="inlineStr">
        <is>
          <t>High SW immediate</t>
        </is>
      </c>
      <c r="U1" s="1" t="inlineStr">
        <is>
          <t>High SW soon</t>
        </is>
      </c>
      <c r="V1" s="1" t="inlineStr">
        <is>
          <t>High SW medium</t>
        </is>
      </c>
      <c r="W1" s="1" t="inlineStr">
        <is>
          <t>High SW long</t>
        </is>
      </c>
      <c r="X1" s="1" t="inlineStr">
        <is>
          <t>Carbon factor (kg CO₂e/kg)</t>
        </is>
      </c>
      <c r="Y1" s="1" t="inlineStr">
        <is>
          <t>Low embodied carbon (t CO₂e)</t>
        </is>
      </c>
      <c r="Z1" s="1" t="inlineStr">
        <is>
          <t>High embodied carbon (t CO₂e)</t>
        </is>
      </c>
      <c r="AA1" s="1" t="inlineStr">
        <is>
          <t>EAF-basis factor (kg CO₂e/kg)</t>
        </is>
      </c>
      <c r="AB1" s="1" t="inlineStr">
        <is>
          <t>Material class</t>
        </is>
      </c>
    </row>
    <row r="2">
      <c r="A2" s="3" t="inlineStr">
        <is>
          <t>BUILDING — STRUCTURE AND ENVELOPE</t>
        </is>
      </c>
      <c r="B2" s="4" t="n"/>
      <c r="C2" s="4" t="n"/>
      <c r="D2" s="4" t="n"/>
      <c r="E2" s="4" t="n"/>
      <c r="J2" s="4" t="n"/>
      <c r="K2" s="4" t="n"/>
      <c r="L2" s="4" t="n"/>
      <c r="M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t="inlineStr">
        <is>
          <t>Concrete: slab on grade, paving, yard</t>
        </is>
      </c>
      <c r="B3" s="5">
        <f>Inputs!$B$11*(1-Inputs!$B$30)*Inputs!$B$12*Inputs!$B$2-B5</f>
        <v/>
      </c>
      <c r="C3" s="5">
        <f>Inputs!$C$11*(1-Inputs!$C$30)*Inputs!$C$12*Inputs!$C$2-C5</f>
        <v/>
      </c>
      <c r="D3" s="5">
        <f>B3</f>
        <v/>
      </c>
      <c r="E3" s="5">
        <f>C3</f>
        <v/>
      </c>
      <c r="F3" s="6" t="n">
        <v>0</v>
      </c>
      <c r="G3" s="6" t="n">
        <v>0</v>
      </c>
      <c r="H3" s="6" t="n">
        <v>0</v>
      </c>
      <c r="I3" s="6">
        <f>Inputs!$B$31</f>
        <v/>
      </c>
      <c r="J3" s="5">
        <f>B3*SUM($F3:$I3)</f>
        <v/>
      </c>
      <c r="K3" s="5">
        <f>C3*SUM($F3:$I3)</f>
        <v/>
      </c>
      <c r="L3" s="5">
        <f>J3*Inputs!$B$33</f>
        <v/>
      </c>
      <c r="M3" s="5">
        <f>K3*Inputs!$C$33</f>
        <v/>
      </c>
      <c r="N3" t="inlineStr">
        <is>
          <t>Technical potential per Alex (75%); no design or code pathway yet. arXiv 2509.21312 [M] for total concrete</t>
        </is>
      </c>
      <c r="O3" s="5">
        <f>C3-K3</f>
        <v/>
      </c>
      <c r="P3" s="5">
        <f>IF(SUM($F3:$I3)=0,0,L3*F3/SUM($F3:$I3))</f>
        <v/>
      </c>
      <c r="Q3" s="5">
        <f>IF(SUM($F3:$I3)=0,0,L3*G3/SUM($F3:$I3))</f>
        <v/>
      </c>
      <c r="R3" s="5">
        <f>IF(SUM($F3:$I3)=0,0,L3*H3/SUM($F3:$I3))</f>
        <v/>
      </c>
      <c r="S3" s="5">
        <f>IF(SUM($F3:$I3)=0,0,L3*I3/SUM($F3:$I3))</f>
        <v/>
      </c>
      <c r="T3" s="5">
        <f>IF(SUM($F3:$I3)=0,0,M3*F3/SUM($F3:$I3))</f>
        <v/>
      </c>
      <c r="U3" s="5">
        <f>IF(SUM($F3:$I3)=0,0,M3*G3/SUM($F3:$I3))</f>
        <v/>
      </c>
      <c r="V3" s="5">
        <f>IF(SUM($F3:$I3)=0,0,M3*H3/SUM($F3:$I3))</f>
        <v/>
      </c>
      <c r="W3" s="5">
        <f>IF(SUM($F3:$I3)=0,0,M3*I3/SUM($F3:$I3))</f>
        <v/>
      </c>
      <c r="X3" s="7">
        <f>Inputs!$B$35</f>
        <v/>
      </c>
      <c r="Y3" s="5">
        <f>B3*X3</f>
        <v/>
      </c>
      <c r="Z3" s="5">
        <f>C3*X3</f>
        <v/>
      </c>
      <c r="AA3" s="7">
        <f>Inputs!$B$35</f>
        <v/>
      </c>
      <c r="AB3" t="inlineStr">
        <is>
          <t>concrete</t>
        </is>
      </c>
    </row>
    <row r="4">
      <c r="A4" t="inlineStr">
        <is>
          <t>Concrete: foundations, footings, piers, equipment pads</t>
        </is>
      </c>
      <c r="B4" s="5">
        <f>Inputs!$B$11*Inputs!$B$30*Inputs!$B$12*Inputs!$B$2</f>
        <v/>
      </c>
      <c r="C4" s="5">
        <f>Inputs!$C$11*Inputs!$C$30*Inputs!$C$12*Inputs!$C$2</f>
        <v/>
      </c>
      <c r="D4" s="5">
        <f>D3+B4</f>
        <v/>
      </c>
      <c r="E4" s="5">
        <f>E3+C4</f>
        <v/>
      </c>
      <c r="F4" s="6" t="n">
        <v>0</v>
      </c>
      <c r="G4" s="6" t="n">
        <v>0</v>
      </c>
      <c r="H4" s="6" t="n">
        <v>0</v>
      </c>
      <c r="I4" s="6">
        <f>Inputs!$B$32</f>
        <v/>
      </c>
      <c r="J4" s="5">
        <f>B4*SUM($F4:$I4)</f>
        <v/>
      </c>
      <c r="K4" s="5">
        <f>C4*SUM($F4:$I4)</f>
        <v/>
      </c>
      <c r="L4" s="5">
        <f>J4*Inputs!$B$33</f>
        <v/>
      </c>
      <c r="M4" s="5">
        <f>K4*Inputs!$C$33</f>
        <v/>
      </c>
      <c r="N4" t="inlineStr">
        <is>
          <t>Technical potential per Alex (90%); lightweight insulated SUPERWOOD foundations — geotechnical, durability and code pathway all open</t>
        </is>
      </c>
      <c r="O4" s="5">
        <f>C4-K4</f>
        <v/>
      </c>
      <c r="P4" s="5">
        <f>IF(SUM($F4:$I4)=0,0,L4*F4/SUM($F4:$I4))</f>
        <v/>
      </c>
      <c r="Q4" s="5">
        <f>IF(SUM($F4:$I4)=0,0,L4*G4/SUM($F4:$I4))</f>
        <v/>
      </c>
      <c r="R4" s="5">
        <f>IF(SUM($F4:$I4)=0,0,L4*H4/SUM($F4:$I4))</f>
        <v/>
      </c>
      <c r="S4" s="5">
        <f>IF(SUM($F4:$I4)=0,0,L4*I4/SUM($F4:$I4))</f>
        <v/>
      </c>
      <c r="T4" s="5">
        <f>IF(SUM($F4:$I4)=0,0,M4*F4/SUM($F4:$I4))</f>
        <v/>
      </c>
      <c r="U4" s="5">
        <f>IF(SUM($F4:$I4)=0,0,M4*G4/SUM($F4:$I4))</f>
        <v/>
      </c>
      <c r="V4" s="5">
        <f>IF(SUM($F4:$I4)=0,0,M4*H4/SUM($F4:$I4))</f>
        <v/>
      </c>
      <c r="W4" s="5">
        <f>IF(SUM($F4:$I4)=0,0,M4*I4/SUM($F4:$I4))</f>
        <v/>
      </c>
      <c r="X4" s="7">
        <f>Inputs!$B$35</f>
        <v/>
      </c>
      <c r="Y4" s="5">
        <f>B4*X4</f>
        <v/>
      </c>
      <c r="Z4" s="5">
        <f>C4*X4</f>
        <v/>
      </c>
      <c r="AA4" s="7">
        <f>Inputs!$B$35</f>
        <v/>
      </c>
      <c r="AB4" t="inlineStr">
        <is>
          <t>concrete</t>
        </is>
      </c>
    </row>
    <row r="5">
      <c r="A5" t="inlineStr">
        <is>
          <t>Precast / tilt-up perimeter walls (precast case)</t>
        </is>
      </c>
      <c r="B5" s="5">
        <f>Inputs!$B$13*Derived!B4*Inputs!$B$14*Inputs!$B$12</f>
        <v/>
      </c>
      <c r="C5" s="5">
        <f>Inputs!$C$13*Derived!C4*Inputs!$C$14*Inputs!$C$12</f>
        <v/>
      </c>
      <c r="D5" s="5">
        <f>D4+B5</f>
        <v/>
      </c>
      <c r="E5" s="5">
        <f>E4+C5</f>
        <v/>
      </c>
      <c r="F5" s="6" t="n">
        <v>0</v>
      </c>
      <c r="G5" s="6" t="n">
        <v>0</v>
      </c>
      <c r="H5" s="6" t="n">
        <v>1</v>
      </c>
      <c r="I5" s="6" t="n">
        <v>0</v>
      </c>
      <c r="J5" s="5">
        <f>B5*SUM($F5:$I5)</f>
        <v/>
      </c>
      <c r="K5" s="5">
        <f>C5*SUM($F5:$I5)</f>
        <v/>
      </c>
      <c r="L5" s="5">
        <f>SUM($F5:$I5)*Inputs!$B$13*Derived!B4*Inputs!$B$41/1000</f>
        <v/>
      </c>
      <c r="M5" s="5">
        <f>SUM($F5:$I5)*Inputs!$C$13*Derived!C4*Inputs!$C$41/1000</f>
        <v/>
      </c>
      <c r="N5" t="inlineStr">
        <is>
          <t>Hybrid SUPERWOOD wall panels; NFPA 285 + E119 assemblies. Active when Inputs walls_precast = 1</t>
        </is>
      </c>
      <c r="O5" s="5">
        <f>C5-K5</f>
        <v/>
      </c>
      <c r="P5" s="5">
        <f>IF(SUM($F5:$I5)=0,0,L5*F5/SUM($F5:$I5))</f>
        <v/>
      </c>
      <c r="Q5" s="5">
        <f>IF(SUM($F5:$I5)=0,0,L5*G5/SUM($F5:$I5))</f>
        <v/>
      </c>
      <c r="R5" s="5">
        <f>IF(SUM($F5:$I5)=0,0,L5*H5/SUM($F5:$I5))</f>
        <v/>
      </c>
      <c r="S5" s="5">
        <f>IF(SUM($F5:$I5)=0,0,L5*I5/SUM($F5:$I5))</f>
        <v/>
      </c>
      <c r="T5" s="5">
        <f>IF(SUM($F5:$I5)=0,0,M5*F5/SUM($F5:$I5))</f>
        <v/>
      </c>
      <c r="U5" s="5">
        <f>IF(SUM($F5:$I5)=0,0,M5*G5/SUM($F5:$I5))</f>
        <v/>
      </c>
      <c r="V5" s="5">
        <f>IF(SUM($F5:$I5)=0,0,M5*H5/SUM($F5:$I5))</f>
        <v/>
      </c>
      <c r="W5" s="5">
        <f>IF(SUM($F5:$I5)=0,0,M5*I5/SUM($F5:$I5))</f>
        <v/>
      </c>
      <c r="X5" s="7">
        <f>Inputs!$B$35</f>
        <v/>
      </c>
      <c r="Y5" s="5">
        <f>B5*X5</f>
        <v/>
      </c>
      <c r="Z5" s="5">
        <f>C5*X5</f>
        <v/>
      </c>
      <c r="AA5" s="7">
        <f>Inputs!$B$35</f>
        <v/>
      </c>
      <c r="AB5" t="inlineStr">
        <is>
          <t>concrete</t>
        </is>
      </c>
    </row>
    <row r="6">
      <c r="A6" t="inlineStr">
        <is>
          <t>Rebar in all concrete</t>
        </is>
      </c>
      <c r="B6" s="5">
        <f>Inputs!$B$11*Inputs!$B$17/1000*Inputs!$B$2</f>
        <v/>
      </c>
      <c r="C6" s="5">
        <f>Inputs!$C$11*Inputs!$C$17/1000*Inputs!$C$2</f>
        <v/>
      </c>
      <c r="D6" s="5">
        <f>D5+B6</f>
        <v/>
      </c>
      <c r="E6" s="5">
        <f>E5+C6</f>
        <v/>
      </c>
      <c r="F6" s="6" t="n">
        <v>0</v>
      </c>
      <c r="G6" s="6" t="n">
        <v>0</v>
      </c>
      <c r="H6" s="6" t="n">
        <v>0</v>
      </c>
      <c r="I6" s="6">
        <f>Inputs!$B$30*Inputs!$B$32+(1-Inputs!$B$30)*Inputs!$B$31</f>
        <v/>
      </c>
      <c r="J6" s="5">
        <f>B6*SUM($F6:$I6)</f>
        <v/>
      </c>
      <c r="K6" s="5">
        <f>C6*SUM($F6:$I6)</f>
        <v/>
      </c>
      <c r="L6" s="5">
        <f>J6*Inputs!$B$40</f>
        <v/>
      </c>
      <c r="M6" s="5">
        <f>K6*Inputs!$C$40</f>
        <v/>
      </c>
      <c r="N6" t="inlineStr">
        <is>
          <t>Rebar follows the concrete it sits in: foundation share × 90% + slab share × 75%</t>
        </is>
      </c>
      <c r="O6" s="5">
        <f>C6-K6</f>
        <v/>
      </c>
      <c r="P6" s="5">
        <f>IF(SUM($F6:$I6)=0,0,L6*F6/SUM($F6:$I6))</f>
        <v/>
      </c>
      <c r="Q6" s="5">
        <f>IF(SUM($F6:$I6)=0,0,L6*G6/SUM($F6:$I6))</f>
        <v/>
      </c>
      <c r="R6" s="5">
        <f>IF(SUM($F6:$I6)=0,0,L6*H6/SUM($F6:$I6))</f>
        <v/>
      </c>
      <c r="S6" s="5">
        <f>IF(SUM($F6:$I6)=0,0,L6*I6/SUM($F6:$I6))</f>
        <v/>
      </c>
      <c r="T6" s="5">
        <f>IF(SUM($F6:$I6)=0,0,M6*F6/SUM($F6:$I6))</f>
        <v/>
      </c>
      <c r="U6" s="5">
        <f>IF(SUM($F6:$I6)=0,0,M6*G6/SUM($F6:$I6))</f>
        <v/>
      </c>
      <c r="V6" s="5">
        <f>IF(SUM($F6:$I6)=0,0,M6*H6/SUM($F6:$I6))</f>
        <v/>
      </c>
      <c r="W6" s="5">
        <f>IF(SUM($F6:$I6)=0,0,M6*I6/SUM($F6:$I6))</f>
        <v/>
      </c>
      <c r="X6" s="7">
        <f>Inputs!$B$44</f>
        <v/>
      </c>
      <c r="Y6" s="5">
        <f>B6*X6</f>
        <v/>
      </c>
      <c r="Z6" s="5">
        <f>C6*X6</f>
        <v/>
      </c>
      <c r="AA6" s="7">
        <f>Inputs!$C$45</f>
        <v/>
      </c>
      <c r="AB6" t="inlineStr">
        <is>
          <t>steel</t>
        </is>
      </c>
    </row>
    <row r="7">
      <c r="A7" t="inlineStr">
        <is>
          <t>Structural steel — primary frame (columns, girders)</t>
        </is>
      </c>
      <c r="B7" s="5">
        <f>Inputs!$B$15*(1-Inputs!$B$16)*Inputs!$B$2</f>
        <v/>
      </c>
      <c r="C7" s="5">
        <f>Inputs!$C$15*(1-Inputs!$C$16)*Inputs!$C$2</f>
        <v/>
      </c>
      <c r="D7" s="5">
        <f>D6+B7</f>
        <v/>
      </c>
      <c r="E7" s="5">
        <f>E6+C7</f>
        <v/>
      </c>
      <c r="F7" s="6" t="n">
        <v>0</v>
      </c>
      <c r="G7" s="6" t="n">
        <v>0</v>
      </c>
      <c r="H7" s="6" t="n">
        <v>1</v>
      </c>
      <c r="I7" s="6" t="n">
        <v>0</v>
      </c>
      <c r="J7" s="5">
        <f>B7*SUM($F7:$I7)</f>
        <v/>
      </c>
      <c r="K7" s="5">
        <f>C7*SUM($F7:$I7)</f>
        <v/>
      </c>
      <c r="L7" s="5">
        <f>J7*Inputs!$B$40</f>
        <v/>
      </c>
      <c r="M7" s="5">
        <f>K7*Inputs!$C$40</f>
        <v/>
      </c>
      <c r="N7" t="inlineStr">
        <is>
          <t>ICC-ES via the mass-timber qualification pathway; FM acceptance; E119</t>
        </is>
      </c>
      <c r="O7" s="5">
        <f>C7-K7</f>
        <v/>
      </c>
      <c r="P7" s="5">
        <f>IF(SUM($F7:$I7)=0,0,L7*F7/SUM($F7:$I7))</f>
        <v/>
      </c>
      <c r="Q7" s="5">
        <f>IF(SUM($F7:$I7)=0,0,L7*G7/SUM($F7:$I7))</f>
        <v/>
      </c>
      <c r="R7" s="5">
        <f>IF(SUM($F7:$I7)=0,0,L7*H7/SUM($F7:$I7))</f>
        <v/>
      </c>
      <c r="S7" s="5">
        <f>IF(SUM($F7:$I7)=0,0,L7*I7/SUM($F7:$I7))</f>
        <v/>
      </c>
      <c r="T7" s="5">
        <f>IF(SUM($F7:$I7)=0,0,M7*F7/SUM($F7:$I7))</f>
        <v/>
      </c>
      <c r="U7" s="5">
        <f>IF(SUM($F7:$I7)=0,0,M7*G7/SUM($F7:$I7))</f>
        <v/>
      </c>
      <c r="V7" s="5">
        <f>IF(SUM($F7:$I7)=0,0,M7*H7/SUM($F7:$I7))</f>
        <v/>
      </c>
      <c r="W7" s="5">
        <f>IF(SUM($F7:$I7)=0,0,M7*I7/SUM($F7:$I7))</f>
        <v/>
      </c>
      <c r="X7" s="7">
        <f>Inputs!$B$44</f>
        <v/>
      </c>
      <c r="Y7" s="5">
        <f>B7*X7</f>
        <v/>
      </c>
      <c r="Z7" s="5">
        <f>C7*X7</f>
        <v/>
      </c>
      <c r="AA7" s="7">
        <f>Inputs!$C$45</f>
        <v/>
      </c>
      <c r="AB7" t="inlineStr">
        <is>
          <t>steel</t>
        </is>
      </c>
    </row>
    <row r="8">
      <c r="A8" t="inlineStr">
        <is>
          <t>Structural steel — roof trusses, joists, roof deck, girts</t>
        </is>
      </c>
      <c r="B8" s="5">
        <f>Inputs!$B$15*Inputs!$B$16*Inputs!$B$2</f>
        <v/>
      </c>
      <c r="C8" s="5">
        <f>Inputs!$C$15*Inputs!$C$16*Inputs!$C$2</f>
        <v/>
      </c>
      <c r="D8" s="5">
        <f>D7+B8</f>
        <v/>
      </c>
      <c r="E8" s="5">
        <f>E7+C8</f>
        <v/>
      </c>
      <c r="F8" s="6" t="n">
        <v>0</v>
      </c>
      <c r="G8" s="6" t="n">
        <v>0</v>
      </c>
      <c r="H8" s="6" t="n">
        <v>1</v>
      </c>
      <c r="I8" s="6" t="n">
        <v>0</v>
      </c>
      <c r="J8" s="5">
        <f>B8*SUM($F8:$I8)</f>
        <v/>
      </c>
      <c r="K8" s="5">
        <f>C8*SUM($F8:$I8)</f>
        <v/>
      </c>
      <c r="L8" s="5">
        <f>J8*Inputs!$B$40</f>
        <v/>
      </c>
      <c r="M8" s="5">
        <f>K8*Inputs!$C$40</f>
        <v/>
      </c>
      <c r="N8" t="inlineStr">
        <is>
          <t>Design values and connection data; trusses carry no fire-resistance requirement</t>
        </is>
      </c>
      <c r="O8" s="5">
        <f>C8-K8</f>
        <v/>
      </c>
      <c r="P8" s="5">
        <f>IF(SUM($F8:$I8)=0,0,L8*F8/SUM($F8:$I8))</f>
        <v/>
      </c>
      <c r="Q8" s="5">
        <f>IF(SUM($F8:$I8)=0,0,L8*G8/SUM($F8:$I8))</f>
        <v/>
      </c>
      <c r="R8" s="5">
        <f>IF(SUM($F8:$I8)=0,0,L8*H8/SUM($F8:$I8))</f>
        <v/>
      </c>
      <c r="S8" s="5">
        <f>IF(SUM($F8:$I8)=0,0,L8*I8/SUM($F8:$I8))</f>
        <v/>
      </c>
      <c r="T8" s="5">
        <f>IF(SUM($F8:$I8)=0,0,M8*F8/SUM($F8:$I8))</f>
        <v/>
      </c>
      <c r="U8" s="5">
        <f>IF(SUM($F8:$I8)=0,0,M8*G8/SUM($F8:$I8))</f>
        <v/>
      </c>
      <c r="V8" s="5">
        <f>IF(SUM($F8:$I8)=0,0,M8*H8/SUM($F8:$I8))</f>
        <v/>
      </c>
      <c r="W8" s="5">
        <f>IF(SUM($F8:$I8)=0,0,M8*I8/SUM($F8:$I8))</f>
        <v/>
      </c>
      <c r="X8" s="7">
        <f>Inputs!$B$44</f>
        <v/>
      </c>
      <c r="Y8" s="5">
        <f>B8*X8</f>
        <v/>
      </c>
      <c r="Z8" s="5">
        <f>C8*X8</f>
        <v/>
      </c>
      <c r="AA8" s="7">
        <f>Inputs!$C$45</f>
        <v/>
      </c>
      <c r="AB8" t="inlineStr">
        <is>
          <t>steel</t>
        </is>
      </c>
    </row>
    <row r="9">
      <c r="A9" t="inlineStr">
        <is>
          <t>Exterior skins — metal panel / IMP (metal-panel case)</t>
        </is>
      </c>
      <c r="B9" s="5">
        <f>(1-Inputs!$B$13)*Derived!B4*Inputs!$B$19/1000</f>
        <v/>
      </c>
      <c r="C9" s="5">
        <f>(1-Inputs!$C$13)*Derived!C4*Inputs!$C$19/1000</f>
        <v/>
      </c>
      <c r="D9" s="5">
        <f>D8+B9</f>
        <v/>
      </c>
      <c r="E9" s="5">
        <f>E8+C9</f>
        <v/>
      </c>
      <c r="F9" s="6" t="n">
        <v>1</v>
      </c>
      <c r="G9" s="6" t="n">
        <v>0</v>
      </c>
      <c r="H9" s="6" t="n">
        <v>0</v>
      </c>
      <c r="I9" s="6" t="n">
        <v>0</v>
      </c>
      <c r="J9" s="5">
        <f>B9*SUM($F9:$I9)</f>
        <v/>
      </c>
      <c r="K9" s="5">
        <f>C9*SUM($F9:$I9)</f>
        <v/>
      </c>
      <c r="L9" s="5">
        <f>SUM($F9:$I9)*(1-Inputs!$B$13)*Derived!B3*Derived!B6/1000</f>
        <v/>
      </c>
      <c r="M9" s="5">
        <f>SUM($F9:$I9)*(1-Inputs!$C$13)*Derived!C3*Derived!C6/1000</f>
        <v/>
      </c>
      <c r="N9" t="inlineStr">
        <is>
          <t>Shipping now; area-for-area rain screen</t>
        </is>
      </c>
      <c r="O9" s="5">
        <f>C9-K9</f>
        <v/>
      </c>
      <c r="P9" s="5">
        <f>IF(SUM($F9:$I9)=0,0,L9*F9/SUM($F9:$I9))</f>
        <v/>
      </c>
      <c r="Q9" s="5">
        <f>IF(SUM($F9:$I9)=0,0,L9*G9/SUM($F9:$I9))</f>
        <v/>
      </c>
      <c r="R9" s="5">
        <f>IF(SUM($F9:$I9)=0,0,L9*H9/SUM($F9:$I9))</f>
        <v/>
      </c>
      <c r="S9" s="5">
        <f>IF(SUM($F9:$I9)=0,0,L9*I9/SUM($F9:$I9))</f>
        <v/>
      </c>
      <c r="T9" s="5">
        <f>IF(SUM($F9:$I9)=0,0,M9*F9/SUM($F9:$I9))</f>
        <v/>
      </c>
      <c r="U9" s="5">
        <f>IF(SUM($F9:$I9)=0,0,M9*G9/SUM($F9:$I9))</f>
        <v/>
      </c>
      <c r="V9" s="5">
        <f>IF(SUM($F9:$I9)=0,0,M9*H9/SUM($F9:$I9))</f>
        <v/>
      </c>
      <c r="W9" s="5">
        <f>IF(SUM($F9:$I9)=0,0,M9*I9/SUM($F9:$I9))</f>
        <v/>
      </c>
      <c r="X9" s="7">
        <f>Inputs!$B$44</f>
        <v/>
      </c>
      <c r="Y9" s="5">
        <f>B9*X9</f>
        <v/>
      </c>
      <c r="Z9" s="5">
        <f>C9*X9</f>
        <v/>
      </c>
      <c r="AA9" s="7">
        <f>Inputs!$C$45</f>
        <v/>
      </c>
      <c r="AB9" t="inlineStr">
        <is>
          <t>steel</t>
        </is>
      </c>
    </row>
    <row r="10">
      <c r="A10" t="inlineStr">
        <is>
          <t>Louvers and yard / mechanical screens</t>
        </is>
      </c>
      <c r="B10" s="5">
        <f>Inputs!$B$6*0.092903*Inputs!$B$20/1000</f>
        <v/>
      </c>
      <c r="C10" s="5">
        <f>Inputs!$C$6*0.092903*Inputs!$C$20/1000</f>
        <v/>
      </c>
      <c r="D10" s="5">
        <f>D9+B10</f>
        <v/>
      </c>
      <c r="E10" s="5">
        <f>E9+C10</f>
        <v/>
      </c>
      <c r="F10" s="6" t="n">
        <v>1</v>
      </c>
      <c r="G10" s="6" t="n">
        <v>0</v>
      </c>
      <c r="H10" s="6" t="n">
        <v>0</v>
      </c>
      <c r="I10" s="6" t="n">
        <v>0</v>
      </c>
      <c r="J10" s="5">
        <f>B10*SUM($F10:$I10)</f>
        <v/>
      </c>
      <c r="K10" s="5">
        <f>C10*SUM($F10:$I10)</f>
        <v/>
      </c>
      <c r="L10" s="5">
        <f>SUM($F10:$I10)*Inputs!$B$6*Derived!B6/1000</f>
        <v/>
      </c>
      <c r="M10" s="5">
        <f>SUM($F10:$I10)*Inputs!$C$6*Derived!C6/1000</f>
        <v/>
      </c>
      <c r="N10" t="inlineStr">
        <is>
          <t>Shipping now</t>
        </is>
      </c>
      <c r="O10" s="5">
        <f>C10-K10</f>
        <v/>
      </c>
      <c r="P10" s="5">
        <f>IF(SUM($F10:$I10)=0,0,L10*F10/SUM($F10:$I10))</f>
        <v/>
      </c>
      <c r="Q10" s="5">
        <f>IF(SUM($F10:$I10)=0,0,L10*G10/SUM($F10:$I10))</f>
        <v/>
      </c>
      <c r="R10" s="5">
        <f>IF(SUM($F10:$I10)=0,0,L10*H10/SUM($F10:$I10))</f>
        <v/>
      </c>
      <c r="S10" s="5">
        <f>IF(SUM($F10:$I10)=0,0,L10*I10/SUM($F10:$I10))</f>
        <v/>
      </c>
      <c r="T10" s="5">
        <f>IF(SUM($F10:$I10)=0,0,M10*F10/SUM($F10:$I10))</f>
        <v/>
      </c>
      <c r="U10" s="5">
        <f>IF(SUM($F10:$I10)=0,0,M10*G10/SUM($F10:$I10))</f>
        <v/>
      </c>
      <c r="V10" s="5">
        <f>IF(SUM($F10:$I10)=0,0,M10*H10/SUM($F10:$I10))</f>
        <v/>
      </c>
      <c r="W10" s="5">
        <f>IF(SUM($F10:$I10)=0,0,M10*I10/SUM($F10:$I10))</f>
        <v/>
      </c>
      <c r="X10" s="7">
        <f>Inputs!$B$44</f>
        <v/>
      </c>
      <c r="Y10" s="5">
        <f>B10*X10</f>
        <v/>
      </c>
      <c r="Z10" s="5">
        <f>C10*X10</f>
        <v/>
      </c>
      <c r="AA10" s="7">
        <f>Inputs!$C$45</f>
        <v/>
      </c>
      <c r="AB10" t="inlineStr">
        <is>
          <t>steel</t>
        </is>
      </c>
    </row>
    <row r="11">
      <c r="A11" t="inlineStr">
        <is>
          <t>Security and staff-area fencing</t>
        </is>
      </c>
      <c r="B11" s="5">
        <f>Inputs!$B$7*1000*Inputs!$B$21/1000</f>
        <v/>
      </c>
      <c r="C11" s="5">
        <f>Inputs!$C$7*1000*Inputs!$C$21/1000</f>
        <v/>
      </c>
      <c r="D11" s="5">
        <f>D10+B11</f>
        <v/>
      </c>
      <c r="E11" s="5">
        <f>E10+C11</f>
        <v/>
      </c>
      <c r="F11" s="6" t="n">
        <v>1</v>
      </c>
      <c r="G11" s="6" t="n">
        <v>0</v>
      </c>
      <c r="H11" s="6" t="n">
        <v>0</v>
      </c>
      <c r="I11" s="6" t="n">
        <v>0</v>
      </c>
      <c r="J11" s="5">
        <f>B11*SUM($F11:$I11)</f>
        <v/>
      </c>
      <c r="K11" s="5">
        <f>C11*SUM($F11:$I11)</f>
        <v/>
      </c>
      <c r="L11" s="5">
        <f>SUM($F11:$I11)*Derived!B5*Derived!B6/1000</f>
        <v/>
      </c>
      <c r="M11" s="5">
        <f>SUM($F11:$I11)*Derived!C5*Derived!C6/1000</f>
        <v/>
      </c>
      <c r="N11" t="inlineStr">
        <is>
          <t>Shipping now — the Microsoft near-term list</t>
        </is>
      </c>
      <c r="O11" s="5">
        <f>C11-K11</f>
        <v/>
      </c>
      <c r="P11" s="5">
        <f>IF(SUM($F11:$I11)=0,0,L11*F11/SUM($F11:$I11))</f>
        <v/>
      </c>
      <c r="Q11" s="5">
        <f>IF(SUM($F11:$I11)=0,0,L11*G11/SUM($F11:$I11))</f>
        <v/>
      </c>
      <c r="R11" s="5">
        <f>IF(SUM($F11:$I11)=0,0,L11*H11/SUM($F11:$I11))</f>
        <v/>
      </c>
      <c r="S11" s="5">
        <f>IF(SUM($F11:$I11)=0,0,L11*I11/SUM($F11:$I11))</f>
        <v/>
      </c>
      <c r="T11" s="5">
        <f>IF(SUM($F11:$I11)=0,0,M11*F11/SUM($F11:$I11))</f>
        <v/>
      </c>
      <c r="U11" s="5">
        <f>IF(SUM($F11:$I11)=0,0,M11*G11/SUM($F11:$I11))</f>
        <v/>
      </c>
      <c r="V11" s="5">
        <f>IF(SUM($F11:$I11)=0,0,M11*H11/SUM($F11:$I11))</f>
        <v/>
      </c>
      <c r="W11" s="5">
        <f>IF(SUM($F11:$I11)=0,0,M11*I11/SUM($F11:$I11))</f>
        <v/>
      </c>
      <c r="X11" s="7">
        <f>Inputs!$B$44</f>
        <v/>
      </c>
      <c r="Y11" s="5">
        <f>B11*X11</f>
        <v/>
      </c>
      <c r="Z11" s="5">
        <f>C11*X11</f>
        <v/>
      </c>
      <c r="AA11" s="7">
        <f>Inputs!$C$45</f>
        <v/>
      </c>
      <c r="AB11" t="inlineStr">
        <is>
          <t>steel</t>
        </is>
      </c>
    </row>
    <row r="12">
      <c r="A12" s="3" t="inlineStr">
        <is>
          <t>CONTENTS — FIT-OUT AND EQUIPMENT</t>
        </is>
      </c>
      <c r="B12" s="4" t="n"/>
      <c r="C12" s="4" t="n"/>
      <c r="D12" s="4" t="n"/>
      <c r="E12" s="4" t="n"/>
      <c r="J12" s="4" t="n"/>
      <c r="K12" s="4" t="n"/>
      <c r="L12" s="4" t="n"/>
      <c r="M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8" t="n"/>
      <c r="Y12" s="4" t="n"/>
      <c r="Z12" s="4" t="n"/>
      <c r="AA12" s="8" t="n"/>
    </row>
    <row r="13">
      <c r="A13" t="inlineStr">
        <is>
          <t>Platforms, walkways, mezzanines, railings, tray supports</t>
        </is>
      </c>
      <c r="B13" s="5">
        <f>Inputs!$B$18*Inputs!$B$2</f>
        <v/>
      </c>
      <c r="C13" s="5">
        <f>Inputs!$C$18*Inputs!$C$2</f>
        <v/>
      </c>
      <c r="D13" s="5">
        <f>D11+B13</f>
        <v/>
      </c>
      <c r="E13" s="5">
        <f>E11+C13</f>
        <v/>
      </c>
      <c r="F13" s="6" t="n">
        <v>0</v>
      </c>
      <c r="G13" s="6" t="n">
        <v>1</v>
      </c>
      <c r="H13" s="6" t="n">
        <v>0</v>
      </c>
      <c r="I13" s="6" t="n">
        <v>0</v>
      </c>
      <c r="J13" s="5">
        <f>B13*SUM($F13:$I13)</f>
        <v/>
      </c>
      <c r="K13" s="5">
        <f>C13*SUM($F13:$I13)</f>
        <v/>
      </c>
      <c r="L13" s="5">
        <f>J13*Inputs!$B$40</f>
        <v/>
      </c>
      <c r="M13" s="5">
        <f>K13*Inputs!$C$40</f>
        <v/>
      </c>
      <c r="N13" t="inlineStr">
        <is>
          <t>Published design values; IBC 1607 for railings</t>
        </is>
      </c>
      <c r="O13" s="5">
        <f>C13-K13</f>
        <v/>
      </c>
      <c r="P13" s="5">
        <f>IF(SUM($F13:$I13)=0,0,L13*F13/SUM($F13:$I13))</f>
        <v/>
      </c>
      <c r="Q13" s="5">
        <f>IF(SUM($F13:$I13)=0,0,L13*G13/SUM($F13:$I13))</f>
        <v/>
      </c>
      <c r="R13" s="5">
        <f>IF(SUM($F13:$I13)=0,0,L13*H13/SUM($F13:$I13))</f>
        <v/>
      </c>
      <c r="S13" s="5">
        <f>IF(SUM($F13:$I13)=0,0,L13*I13/SUM($F13:$I13))</f>
        <v/>
      </c>
      <c r="T13" s="5">
        <f>IF(SUM($F13:$I13)=0,0,M13*F13/SUM($F13:$I13))</f>
        <v/>
      </c>
      <c r="U13" s="5">
        <f>IF(SUM($F13:$I13)=0,0,M13*G13/SUM($F13:$I13))</f>
        <v/>
      </c>
      <c r="V13" s="5">
        <f>IF(SUM($F13:$I13)=0,0,M13*H13/SUM($F13:$I13))</f>
        <v/>
      </c>
      <c r="W13" s="5">
        <f>IF(SUM($F13:$I13)=0,0,M13*I13/SUM($F13:$I13))</f>
        <v/>
      </c>
      <c r="X13" s="7">
        <f>Inputs!$B$44</f>
        <v/>
      </c>
      <c r="Y13" s="5">
        <f>B13*X13</f>
        <v/>
      </c>
      <c r="Z13" s="5">
        <f>C13*X13</f>
        <v/>
      </c>
      <c r="AA13" s="7">
        <f>Inputs!$C$45</f>
        <v/>
      </c>
      <c r="AB13" t="inlineStr">
        <is>
          <t>steel</t>
        </is>
      </c>
    </row>
    <row r="14">
      <c r="A14" t="inlineStr">
        <is>
          <t>Acoustic barriers, enclosures, HVAC separations</t>
        </is>
      </c>
      <c r="B14" s="5">
        <f>Inputs!$B$22*Inputs!$B$2</f>
        <v/>
      </c>
      <c r="C14" s="5">
        <f>Inputs!$C$22*Inputs!$C$2</f>
        <v/>
      </c>
      <c r="D14" s="5">
        <f>D13+B14</f>
        <v/>
      </c>
      <c r="E14" s="5">
        <f>E13+C14</f>
        <v/>
      </c>
      <c r="F14" s="6" t="n">
        <v>0</v>
      </c>
      <c r="G14" s="6" t="n">
        <v>1</v>
      </c>
      <c r="H14" s="6" t="n">
        <v>0</v>
      </c>
      <c r="I14" s="6" t="n">
        <v>0</v>
      </c>
      <c r="J14" s="5">
        <f>B14*SUM($F14:$I14)</f>
        <v/>
      </c>
      <c r="K14" s="5">
        <f>C14*SUM($F14:$I14)</f>
        <v/>
      </c>
      <c r="L14" s="5">
        <f>J14*Inputs!$B$40</f>
        <v/>
      </c>
      <c r="M14" s="5">
        <f>K14*Inputs!$C$40</f>
        <v/>
      </c>
      <c r="N14" t="inlineStr">
        <is>
          <t>STC / OITC lab and field data</t>
        </is>
      </c>
      <c r="O14" s="5">
        <f>C14-K14</f>
        <v/>
      </c>
      <c r="P14" s="5">
        <f>IF(SUM($F14:$I14)=0,0,L14*F14/SUM($F14:$I14))</f>
        <v/>
      </c>
      <c r="Q14" s="5">
        <f>IF(SUM($F14:$I14)=0,0,L14*G14/SUM($F14:$I14))</f>
        <v/>
      </c>
      <c r="R14" s="5">
        <f>IF(SUM($F14:$I14)=0,0,L14*H14/SUM($F14:$I14))</f>
        <v/>
      </c>
      <c r="S14" s="5">
        <f>IF(SUM($F14:$I14)=0,0,L14*I14/SUM($F14:$I14))</f>
        <v/>
      </c>
      <c r="T14" s="5">
        <f>IF(SUM($F14:$I14)=0,0,M14*F14/SUM($F14:$I14))</f>
        <v/>
      </c>
      <c r="U14" s="5">
        <f>IF(SUM($F14:$I14)=0,0,M14*G14/SUM($F14:$I14))</f>
        <v/>
      </c>
      <c r="V14" s="5">
        <f>IF(SUM($F14:$I14)=0,0,M14*H14/SUM($F14:$I14))</f>
        <v/>
      </c>
      <c r="W14" s="5">
        <f>IF(SUM($F14:$I14)=0,0,M14*I14/SUM($F14:$I14))</f>
        <v/>
      </c>
      <c r="X14" s="7">
        <f>Inputs!$B$44</f>
        <v/>
      </c>
      <c r="Y14" s="5">
        <f>B14*X14</f>
        <v/>
      </c>
      <c r="Z14" s="5">
        <f>C14*X14</f>
        <v/>
      </c>
      <c r="AA14" s="7">
        <f>Inputs!$C$45</f>
        <v/>
      </c>
      <c r="AB14" t="inlineStr">
        <is>
          <t>steel</t>
        </is>
      </c>
    </row>
    <row r="15">
      <c r="A15" t="inlineStr">
        <is>
          <t>Racking and equipment supports</t>
        </is>
      </c>
      <c r="B15" s="5">
        <f>Inputs!$B$23*Inputs!$B$2</f>
        <v/>
      </c>
      <c r="C15" s="5">
        <f>Inputs!$C$23*Inputs!$C$2</f>
        <v/>
      </c>
      <c r="D15" s="5">
        <f>D14+B15</f>
        <v/>
      </c>
      <c r="E15" s="5">
        <f>E14+C15</f>
        <v/>
      </c>
      <c r="F15" s="6" t="n">
        <v>0</v>
      </c>
      <c r="G15" s="6" t="n">
        <v>1</v>
      </c>
      <c r="H15" s="6" t="n">
        <v>0</v>
      </c>
      <c r="I15" s="6" t="n">
        <v>0</v>
      </c>
      <c r="J15" s="5">
        <f>B15*SUM($F15:$I15)</f>
        <v/>
      </c>
      <c r="K15" s="5">
        <f>C15*SUM($F15:$I15)</f>
        <v/>
      </c>
      <c r="L15" s="5">
        <f>J15*Inputs!$B$40</f>
        <v/>
      </c>
      <c r="M15" s="5">
        <f>K15*Inputs!$C$40</f>
        <v/>
      </c>
      <c r="N15" t="inlineStr">
        <is>
          <t>A few months of design and load-data development (Alex 2026-09-04)</t>
        </is>
      </c>
      <c r="O15" s="5">
        <f>C15-K15</f>
        <v/>
      </c>
      <c r="P15" s="5">
        <f>IF(SUM($F15:$I15)=0,0,L15*F15/SUM($F15:$I15))</f>
        <v/>
      </c>
      <c r="Q15" s="5">
        <f>IF(SUM($F15:$I15)=0,0,L15*G15/SUM($F15:$I15))</f>
        <v/>
      </c>
      <c r="R15" s="5">
        <f>IF(SUM($F15:$I15)=0,0,L15*H15/SUM($F15:$I15))</f>
        <v/>
      </c>
      <c r="S15" s="5">
        <f>IF(SUM($F15:$I15)=0,0,L15*I15/SUM($F15:$I15))</f>
        <v/>
      </c>
      <c r="T15" s="5">
        <f>IF(SUM($F15:$I15)=0,0,M15*F15/SUM($F15:$I15))</f>
        <v/>
      </c>
      <c r="U15" s="5">
        <f>IF(SUM($F15:$I15)=0,0,M15*G15/SUM($F15:$I15))</f>
        <v/>
      </c>
      <c r="V15" s="5">
        <f>IF(SUM($F15:$I15)=0,0,M15*H15/SUM($F15:$I15))</f>
        <v/>
      </c>
      <c r="W15" s="5">
        <f>IF(SUM($F15:$I15)=0,0,M15*I15/SUM($F15:$I15))</f>
        <v/>
      </c>
      <c r="X15" s="7">
        <f>Inputs!$B$44</f>
        <v/>
      </c>
      <c r="Y15" s="5">
        <f>B15*X15</f>
        <v/>
      </c>
      <c r="Z15" s="5">
        <f>C15*X15</f>
        <v/>
      </c>
      <c r="AA15" s="7">
        <f>Inputs!$C$45</f>
        <v/>
      </c>
      <c r="AB15" t="inlineStr">
        <is>
          <t>steel</t>
        </is>
      </c>
    </row>
    <row r="16">
      <c r="A16" t="inlineStr">
        <is>
          <t>Other tray, containment, doors, misc. metals</t>
        </is>
      </c>
      <c r="B16" s="5">
        <f>Inputs!$B$24*Inputs!$B$2</f>
        <v/>
      </c>
      <c r="C16" s="5">
        <f>Inputs!$C$24*Inputs!$C$2</f>
        <v/>
      </c>
      <c r="D16" s="5">
        <f>D15+B16</f>
        <v/>
      </c>
      <c r="E16" s="5">
        <f>E15+C16</f>
        <v/>
      </c>
      <c r="F16" s="6" t="n">
        <v>0</v>
      </c>
      <c r="G16" s="6">
        <f>Inputs!$B$42</f>
        <v/>
      </c>
      <c r="H16" s="6" t="n">
        <v>0</v>
      </c>
      <c r="I16" s="6" t="n">
        <v>0</v>
      </c>
      <c r="J16" s="5">
        <f>B16*SUM($F16:$I16)</f>
        <v/>
      </c>
      <c r="K16" s="5">
        <f>C16*SUM($F16:$I16)</f>
        <v/>
      </c>
      <c r="L16" s="5">
        <f>J16*Inputs!$B$40</f>
        <v/>
      </c>
      <c r="M16" s="5">
        <f>K16*Inputs!$C$40</f>
        <v/>
      </c>
      <c r="N16" t="inlineStr">
        <is>
          <t>Partial; UL 10C for rated doors</t>
        </is>
      </c>
      <c r="O16" s="5">
        <f>C16-K16</f>
        <v/>
      </c>
      <c r="P16" s="5">
        <f>IF(SUM($F16:$I16)=0,0,L16*F16/SUM($F16:$I16))</f>
        <v/>
      </c>
      <c r="Q16" s="5">
        <f>IF(SUM($F16:$I16)=0,0,L16*G16/SUM($F16:$I16))</f>
        <v/>
      </c>
      <c r="R16" s="5">
        <f>IF(SUM($F16:$I16)=0,0,L16*H16/SUM($F16:$I16))</f>
        <v/>
      </c>
      <c r="S16" s="5">
        <f>IF(SUM($F16:$I16)=0,0,L16*I16/SUM($F16:$I16))</f>
        <v/>
      </c>
      <c r="T16" s="5">
        <f>IF(SUM($F16:$I16)=0,0,M16*F16/SUM($F16:$I16))</f>
        <v/>
      </c>
      <c r="U16" s="5">
        <f>IF(SUM($F16:$I16)=0,0,M16*G16/SUM($F16:$I16))</f>
        <v/>
      </c>
      <c r="V16" s="5">
        <f>IF(SUM($F16:$I16)=0,0,M16*H16/SUM($F16:$I16))</f>
        <v/>
      </c>
      <c r="W16" s="5">
        <f>IF(SUM($F16:$I16)=0,0,M16*I16/SUM($F16:$I16))</f>
        <v/>
      </c>
      <c r="X16" s="7">
        <f>Inputs!$B$44</f>
        <v/>
      </c>
      <c r="Y16" s="5">
        <f>B16*X16</f>
        <v/>
      </c>
      <c r="Z16" s="5">
        <f>C16*X16</f>
        <v/>
      </c>
      <c r="AA16" s="7">
        <f>Inputs!$C$45</f>
        <v/>
      </c>
      <c r="AB16" t="inlineStr">
        <is>
          <t>steel</t>
        </is>
      </c>
    </row>
    <row r="17">
      <c r="A17" t="inlineStr">
        <is>
          <t>Ducting, plenums and air-distribution sheet metal</t>
        </is>
      </c>
      <c r="B17" s="5">
        <f>Inputs!$B$34*Inputs!$B$2</f>
        <v/>
      </c>
      <c r="C17" s="5">
        <f>Inputs!$C$34*Inputs!$C$2</f>
        <v/>
      </c>
      <c r="D17" s="5">
        <f>D16+B17</f>
        <v/>
      </c>
      <c r="E17" s="5">
        <f>E16+C17</f>
        <v/>
      </c>
      <c r="F17" s="6" t="n">
        <v>0</v>
      </c>
      <c r="G17" s="6" t="n">
        <v>0</v>
      </c>
      <c r="H17" s="6" t="n">
        <v>1</v>
      </c>
      <c r="I17" s="6" t="n">
        <v>0</v>
      </c>
      <c r="J17" s="5">
        <f>B17*SUM($F17:$I17)</f>
        <v/>
      </c>
      <c r="K17" s="5">
        <f>C17*SUM($F17:$I17)</f>
        <v/>
      </c>
      <c r="L17" s="5">
        <f>J17*Inputs!$B$40</f>
        <v/>
      </c>
      <c r="M17" s="5">
        <f>K17*Inputs!$C$40</f>
        <v/>
      </c>
      <c r="N17" t="inlineStr">
        <is>
          <t>NFPA 90A / UL 181 noncombustibility expectations for in-airstream components — the hardest gate in this row set</t>
        </is>
      </c>
      <c r="O17" s="5">
        <f>C17-K17</f>
        <v/>
      </c>
      <c r="P17" s="5">
        <f>IF(SUM($F17:$I17)=0,0,L17*F17/SUM($F17:$I17))</f>
        <v/>
      </c>
      <c r="Q17" s="5">
        <f>IF(SUM($F17:$I17)=0,0,L17*G17/SUM($F17:$I17))</f>
        <v/>
      </c>
      <c r="R17" s="5">
        <f>IF(SUM($F17:$I17)=0,0,L17*H17/SUM($F17:$I17))</f>
        <v/>
      </c>
      <c r="S17" s="5">
        <f>IF(SUM($F17:$I17)=0,0,L17*I17/SUM($F17:$I17))</f>
        <v/>
      </c>
      <c r="T17" s="5">
        <f>IF(SUM($F17:$I17)=0,0,M17*F17/SUM($F17:$I17))</f>
        <v/>
      </c>
      <c r="U17" s="5">
        <f>IF(SUM($F17:$I17)=0,0,M17*G17/SUM($F17:$I17))</f>
        <v/>
      </c>
      <c r="V17" s="5">
        <f>IF(SUM($F17:$I17)=0,0,M17*H17/SUM($F17:$I17))</f>
        <v/>
      </c>
      <c r="W17" s="5">
        <f>IF(SUM($F17:$I17)=0,0,M17*I17/SUM($F17:$I17))</f>
        <v/>
      </c>
      <c r="X17" s="7">
        <f>Inputs!$B$44</f>
        <v/>
      </c>
      <c r="Y17" s="5">
        <f>B17*X17</f>
        <v/>
      </c>
      <c r="Z17" s="5">
        <f>C17*X17</f>
        <v/>
      </c>
      <c r="AA17" s="7">
        <f>Inputs!$C$45</f>
        <v/>
      </c>
      <c r="AB17" t="inlineStr">
        <is>
          <t>steel</t>
        </is>
      </c>
    </row>
    <row r="18">
      <c r="A18" t="inlineStr">
        <is>
          <t>Interior finishes, backplanes, trim (admin / office)</t>
        </is>
      </c>
      <c r="B18" s="5">
        <f>Inputs!$B$25*Inputs!$B$2</f>
        <v/>
      </c>
      <c r="C18" s="5">
        <f>Inputs!$C$25*Inputs!$C$2</f>
        <v/>
      </c>
      <c r="D18" s="5">
        <f>D17+B18</f>
        <v/>
      </c>
      <c r="E18" s="5">
        <f>E17+C18</f>
        <v/>
      </c>
      <c r="F18" s="6" t="n">
        <v>1</v>
      </c>
      <c r="G18" s="6" t="n">
        <v>0</v>
      </c>
      <c r="H18" s="6" t="n">
        <v>0</v>
      </c>
      <c r="I18" s="6" t="n">
        <v>0</v>
      </c>
      <c r="J18" s="5">
        <f>B18*SUM($F18:$I18)</f>
        <v/>
      </c>
      <c r="K18" s="5">
        <f>C18*SUM($F18:$I18)</f>
        <v/>
      </c>
      <c r="L18" s="5">
        <f>SUM($F18:$I18)*(Inputs!$B$9+Inputs!$B$10)*Derived!B6/1000</f>
        <v/>
      </c>
      <c r="M18" s="5">
        <f>SUM($F18:$I18)*(Inputs!$C$9+Inputs!$C$10)*Derived!C6/1000</f>
        <v/>
      </c>
      <c r="N18" t="inlineStr">
        <is>
          <t>E84 Class A finish; backplanes UL 94 yellow card (not yet started)</t>
        </is>
      </c>
      <c r="O18" s="5">
        <f>C18-K18</f>
        <v/>
      </c>
      <c r="P18" s="5">
        <f>IF(SUM($F18:$I18)=0,0,L18*F18/SUM($F18:$I18))</f>
        <v/>
      </c>
      <c r="Q18" s="5">
        <f>IF(SUM($F18:$I18)=0,0,L18*G18/SUM($F18:$I18))</f>
        <v/>
      </c>
      <c r="R18" s="5">
        <f>IF(SUM($F18:$I18)=0,0,L18*H18/SUM($F18:$I18))</f>
        <v/>
      </c>
      <c r="S18" s="5">
        <f>IF(SUM($F18:$I18)=0,0,L18*I18/SUM($F18:$I18))</f>
        <v/>
      </c>
      <c r="T18" s="5">
        <f>IF(SUM($F18:$I18)=0,0,M18*F18/SUM($F18:$I18))</f>
        <v/>
      </c>
      <c r="U18" s="5">
        <f>IF(SUM($F18:$I18)=0,0,M18*G18/SUM($F18:$I18))</f>
        <v/>
      </c>
      <c r="V18" s="5">
        <f>IF(SUM($F18:$I18)=0,0,M18*H18/SUM($F18:$I18))</f>
        <v/>
      </c>
      <c r="W18" s="5">
        <f>IF(SUM($F18:$I18)=0,0,M18*I18/SUM($F18:$I18))</f>
        <v/>
      </c>
      <c r="X18" s="7">
        <f>Inputs!$B$48</f>
        <v/>
      </c>
      <c r="Y18" s="5">
        <f>B18*X18</f>
        <v/>
      </c>
      <c r="Z18" s="5">
        <f>C18*X18</f>
        <v/>
      </c>
      <c r="AA18" s="7">
        <f>Inputs!$B$48</f>
        <v/>
      </c>
      <c r="AB18" t="inlineStr">
        <is>
          <t>mixed</t>
        </is>
      </c>
    </row>
    <row r="19">
      <c r="A19" t="inlineStr">
        <is>
          <t>Electrical equipment and conductors</t>
        </is>
      </c>
      <c r="B19" s="5">
        <f>Inputs!$B$26*Inputs!$B$2</f>
        <v/>
      </c>
      <c r="C19" s="5">
        <f>Inputs!$C$26*Inputs!$C$2</f>
        <v/>
      </c>
      <c r="D19" s="5">
        <f>D18+B19</f>
        <v/>
      </c>
      <c r="E19" s="5">
        <f>E18+C19</f>
        <v/>
      </c>
      <c r="F19" s="6" t="n">
        <v>0</v>
      </c>
      <c r="G19" s="6" t="n">
        <v>0</v>
      </c>
      <c r="H19" s="6" t="n">
        <v>0</v>
      </c>
      <c r="I19" s="6" t="n">
        <v>0</v>
      </c>
      <c r="J19" s="5">
        <f>B19*SUM($F19:$I19)</f>
        <v/>
      </c>
      <c r="K19" s="5">
        <f>C19*SUM($F19:$I19)</f>
        <v/>
      </c>
      <c r="L19" s="5">
        <f>0</f>
        <v/>
      </c>
      <c r="M19" s="5">
        <f>0</f>
        <v/>
      </c>
      <c r="N19" t="inlineStr">
        <is>
          <t>Gensets, transformers, switchgear, batteries, copper</t>
        </is>
      </c>
      <c r="O19" s="5">
        <f>C19-K19</f>
        <v/>
      </c>
      <c r="P19" s="5">
        <f>IF(SUM($F19:$I19)=0,0,L19*F19/SUM($F19:$I19))</f>
        <v/>
      </c>
      <c r="Q19" s="5">
        <f>IF(SUM($F19:$I19)=0,0,L19*G19/SUM($F19:$I19))</f>
        <v/>
      </c>
      <c r="R19" s="5">
        <f>IF(SUM($F19:$I19)=0,0,L19*H19/SUM($F19:$I19))</f>
        <v/>
      </c>
      <c r="S19" s="5">
        <f>IF(SUM($F19:$I19)=0,0,L19*I19/SUM($F19:$I19))</f>
        <v/>
      </c>
      <c r="T19" s="5">
        <f>IF(SUM($F19:$I19)=0,0,M19*F19/SUM($F19:$I19))</f>
        <v/>
      </c>
      <c r="U19" s="5">
        <f>IF(SUM($F19:$I19)=0,0,M19*G19/SUM($F19:$I19))</f>
        <v/>
      </c>
      <c r="V19" s="5">
        <f>IF(SUM($F19:$I19)=0,0,M19*H19/SUM($F19:$I19))</f>
        <v/>
      </c>
      <c r="W19" s="5">
        <f>IF(SUM($F19:$I19)=0,0,M19*I19/SUM($F19:$I19))</f>
        <v/>
      </c>
      <c r="X19" s="7">
        <f>Inputs!$B$49*Inputs!$B$44</f>
        <v/>
      </c>
      <c r="Y19" s="5">
        <f>B19*X19</f>
        <v/>
      </c>
      <c r="Z19" s="5">
        <f>C19*X19</f>
        <v/>
      </c>
      <c r="AA19" s="7">
        <f>Inputs!$B$49*Inputs!$C$45</f>
        <v/>
      </c>
      <c r="AB19" t="inlineStr">
        <is>
          <t>equipment</t>
        </is>
      </c>
    </row>
    <row r="20">
      <c r="A20" t="inlineStr">
        <is>
          <t>Mechanical equipment, piping, loop water</t>
        </is>
      </c>
      <c r="B20" s="5">
        <f>Inputs!$B$27*Inputs!$B$2</f>
        <v/>
      </c>
      <c r="C20" s="5">
        <f>Inputs!$C$27*Inputs!$C$2</f>
        <v/>
      </c>
      <c r="D20" s="5">
        <f>D19+B20</f>
        <v/>
      </c>
      <c r="E20" s="5">
        <f>E19+C20</f>
        <v/>
      </c>
      <c r="F20" s="6" t="n">
        <v>0</v>
      </c>
      <c r="G20" s="6" t="n">
        <v>0</v>
      </c>
      <c r="H20" s="6" t="n">
        <v>0</v>
      </c>
      <c r="I20" s="6" t="n">
        <v>0</v>
      </c>
      <c r="J20" s="5">
        <f>B20*SUM($F20:$I20)</f>
        <v/>
      </c>
      <c r="K20" s="5">
        <f>C20*SUM($F20:$I20)</f>
        <v/>
      </c>
      <c r="L20" s="5">
        <f>0</f>
        <v/>
      </c>
      <c r="M20" s="5">
        <f>0</f>
        <v/>
      </c>
      <c r="N20" t="inlineStr">
        <is>
          <t>Chillers, fan walls, coolers, piping (ductwork is its own row)</t>
        </is>
      </c>
      <c r="O20" s="5">
        <f>C20-K20</f>
        <v/>
      </c>
      <c r="P20" s="5">
        <f>IF(SUM($F20:$I20)=0,0,L20*F20/SUM($F20:$I20))</f>
        <v/>
      </c>
      <c r="Q20" s="5">
        <f>IF(SUM($F20:$I20)=0,0,L20*G20/SUM($F20:$I20))</f>
        <v/>
      </c>
      <c r="R20" s="5">
        <f>IF(SUM($F20:$I20)=0,0,L20*H20/SUM($F20:$I20))</f>
        <v/>
      </c>
      <c r="S20" s="5">
        <f>IF(SUM($F20:$I20)=0,0,L20*I20/SUM($F20:$I20))</f>
        <v/>
      </c>
      <c r="T20" s="5">
        <f>IF(SUM($F20:$I20)=0,0,M20*F20/SUM($F20:$I20))</f>
        <v/>
      </c>
      <c r="U20" s="5">
        <f>IF(SUM($F20:$I20)=0,0,M20*G20/SUM($F20:$I20))</f>
        <v/>
      </c>
      <c r="V20" s="5">
        <f>IF(SUM($F20:$I20)=0,0,M20*H20/SUM($F20:$I20))</f>
        <v/>
      </c>
      <c r="W20" s="5">
        <f>IF(SUM($F20:$I20)=0,0,M20*I20/SUM($F20:$I20))</f>
        <v/>
      </c>
      <c r="X20" s="7">
        <f>Inputs!$B$50*Inputs!$B$44</f>
        <v/>
      </c>
      <c r="Y20" s="5">
        <f>B20*X20</f>
        <v/>
      </c>
      <c r="Z20" s="5">
        <f>C20*X20</f>
        <v/>
      </c>
      <c r="AA20" s="7">
        <f>Inputs!$B$50*Inputs!$C$45</f>
        <v/>
      </c>
      <c r="AB20" t="inlineStr">
        <is>
          <t>equipment</t>
        </is>
      </c>
    </row>
    <row r="21">
      <c r="A21" t="inlineStr">
        <is>
          <t>IT — servers and racks</t>
        </is>
      </c>
      <c r="B21" s="5">
        <f>Inputs!$B$28*Inputs!$B$2</f>
        <v/>
      </c>
      <c r="C21" s="5">
        <f>Inputs!$C$28*Inputs!$C$2</f>
        <v/>
      </c>
      <c r="D21" s="5">
        <f>D20+B21</f>
        <v/>
      </c>
      <c r="E21" s="5">
        <f>E20+C21</f>
        <v/>
      </c>
      <c r="F21" s="6" t="n">
        <v>0</v>
      </c>
      <c r="G21" s="6" t="n">
        <v>0</v>
      </c>
      <c r="H21" s="6" t="n">
        <v>0</v>
      </c>
      <c r="I21" s="6">
        <f>Inputs!$B$29</f>
        <v/>
      </c>
      <c r="J21" s="5">
        <f>B21*SUM($F21:$I21)</f>
        <v/>
      </c>
      <c r="K21" s="5">
        <f>C21*SUM($F21:$I21)</f>
        <v/>
      </c>
      <c r="L21" s="5">
        <f>J21*Inputs!$B$40</f>
        <v/>
      </c>
      <c r="M21" s="5">
        <f>K21*Inputs!$C$40</f>
        <v/>
      </c>
      <c r="N21" t="inlineStr">
        <is>
          <t>Server and equipment enclosures only (40% of IT mass, estimate); electronics never. Rack masses [H]; aggregate [L]</t>
        </is>
      </c>
      <c r="O21" s="5">
        <f>C21-K21</f>
        <v/>
      </c>
      <c r="P21" s="5">
        <f>IF(SUM($F21:$I21)=0,0,L21*F21/SUM($F21:$I21))</f>
        <v/>
      </c>
      <c r="Q21" s="5">
        <f>IF(SUM($F21:$I21)=0,0,L21*G21/SUM($F21:$I21))</f>
        <v/>
      </c>
      <c r="R21" s="5">
        <f>IF(SUM($F21:$I21)=0,0,L21*H21/SUM($F21:$I21))</f>
        <v/>
      </c>
      <c r="S21" s="5">
        <f>IF(SUM($F21:$I21)=0,0,L21*I21/SUM($F21:$I21))</f>
        <v/>
      </c>
      <c r="T21" s="5">
        <f>IF(SUM($F21:$I21)=0,0,M21*F21/SUM($F21:$I21))</f>
        <v/>
      </c>
      <c r="U21" s="5">
        <f>IF(SUM($F21:$I21)=0,0,M21*G21/SUM($F21:$I21))</f>
        <v/>
      </c>
      <c r="V21" s="5">
        <f>IF(SUM($F21:$I21)=0,0,M21*H21/SUM($F21:$I21))</f>
        <v/>
      </c>
      <c r="W21" s="5">
        <f>IF(SUM($F21:$I21)=0,0,M21*I21/SUM($F21:$I21))</f>
        <v/>
      </c>
      <c r="X21" s="7">
        <f>Inputs!$B$51*Inputs!$B$44</f>
        <v/>
      </c>
      <c r="Y21" s="5">
        <f>B21*X21</f>
        <v/>
      </c>
      <c r="Z21" s="5">
        <f>C21*X21</f>
        <v/>
      </c>
      <c r="AA21" s="7">
        <f>Inputs!$B$51*Inputs!$C$45</f>
        <v/>
      </c>
      <c r="AB21" t="inlineStr">
        <is>
          <t>equipment</t>
        </is>
      </c>
    </row>
    <row r="23">
      <c r="A23" s="3" t="inlineStr">
        <is>
          <t>SUMMARY — per data center</t>
        </is>
      </c>
    </row>
    <row r="24">
      <c r="A24" s="9" t="inlineStr">
        <is>
          <t>Total mass, building and contents (tons)</t>
        </is>
      </c>
      <c r="B24" s="10">
        <f>SUM(B3:B21)</f>
        <v/>
      </c>
      <c r="C24" s="10">
        <f>SUM(C3:C21)</f>
        <v/>
      </c>
    </row>
    <row r="25">
      <c r="A25" s="9" t="inlineStr">
        <is>
          <t>Total excluding concrete (tons)</t>
        </is>
      </c>
      <c r="B25" s="10">
        <f>B24-B3-B4-B5</f>
        <v/>
      </c>
      <c r="C25" s="10">
        <f>C24-C3-C4-C5</f>
        <v/>
      </c>
    </row>
    <row r="27">
      <c r="A27" s="9" t="inlineStr">
        <is>
          <t>Replaced by SUPERWOOD, by horizon</t>
        </is>
      </c>
    </row>
    <row r="28">
      <c r="A28" s="11" t="inlineStr">
        <is>
          <t>Immediate — incumbent mass replaced (tons)</t>
        </is>
      </c>
      <c r="B28" s="12">
        <f>SUMPRODUCT(B3:B21,F3:F21)</f>
        <v/>
      </c>
      <c r="C28" s="12">
        <f>SUMPRODUCT(C3:C21,F3:F21)</f>
        <v/>
      </c>
    </row>
    <row r="29">
      <c r="A29" s="11" t="inlineStr">
        <is>
          <t>Immediate — SUPERWOOD required (tons)</t>
        </is>
      </c>
      <c r="B29" s="12">
        <f>SUM(P3:P21)</f>
        <v/>
      </c>
      <c r="C29" s="12">
        <f>SUM(T3:T21)</f>
        <v/>
      </c>
    </row>
    <row r="30">
      <c r="A30" s="11" t="inlineStr">
        <is>
          <t>Immediate — SUPERWOOD required (sf)</t>
        </is>
      </c>
      <c r="B30" s="12">
        <f>B29*1000/Derived!B6</f>
        <v/>
      </c>
      <c r="C30" s="12">
        <f>C29*1000/Derived!C6</f>
        <v/>
      </c>
    </row>
    <row r="31">
      <c r="A31" s="11" t="inlineStr">
        <is>
          <t>Immediate — years of SuperMill One output</t>
        </is>
      </c>
      <c r="B31" s="13">
        <f>B29/Derived!B7</f>
        <v/>
      </c>
      <c r="C31" s="13">
        <f>C29/Derived!C7</f>
        <v/>
      </c>
    </row>
    <row r="33">
      <c r="A33" s="11" t="inlineStr">
        <is>
          <t>Soon — incumbent mass replaced (tons)</t>
        </is>
      </c>
      <c r="B33" s="12">
        <f>SUMPRODUCT(B3:B21,G3:G21)</f>
        <v/>
      </c>
      <c r="C33" s="12">
        <f>SUMPRODUCT(C3:C21,G3:G21)</f>
        <v/>
      </c>
    </row>
    <row r="34">
      <c r="A34" s="11" t="inlineStr">
        <is>
          <t>Soon — SUPERWOOD required (tons)</t>
        </is>
      </c>
      <c r="B34" s="12">
        <f>SUM(Q3:Q21)</f>
        <v/>
      </c>
      <c r="C34" s="12">
        <f>SUM(U3:U21)</f>
        <v/>
      </c>
    </row>
    <row r="35">
      <c r="A35" s="11" t="inlineStr">
        <is>
          <t>Soon — years of SuperMill Two output</t>
        </is>
      </c>
      <c r="B35" s="13">
        <f>B34/Derived!B8</f>
        <v/>
      </c>
      <c r="C35" s="13">
        <f>C34/Derived!C8</f>
        <v/>
      </c>
    </row>
    <row r="37">
      <c r="A37" s="11" t="inlineStr">
        <is>
          <t>Medium term — incumbent mass replaced (tons)</t>
        </is>
      </c>
      <c r="B37" s="12">
        <f>SUMPRODUCT(B3:B21,H3:H21)</f>
        <v/>
      </c>
      <c r="C37" s="12">
        <f>SUMPRODUCT(C3:C21,H3:H21)</f>
        <v/>
      </c>
    </row>
    <row r="38">
      <c r="A38" s="11" t="inlineStr">
        <is>
          <t>Medium term — SUPERWOOD required (tons)</t>
        </is>
      </c>
      <c r="B38" s="12">
        <f>SUM(R3:R21)</f>
        <v/>
      </c>
      <c r="C38" s="12">
        <f>SUM(V3:V21)</f>
        <v/>
      </c>
    </row>
    <row r="39">
      <c r="A39" s="11" t="inlineStr">
        <is>
          <t>Medium term — years of SuperMill Two output</t>
        </is>
      </c>
      <c r="B39" s="13">
        <f>B38/Derived!B8</f>
        <v/>
      </c>
      <c r="C39" s="13">
        <f>C38/Derived!C8</f>
        <v/>
      </c>
    </row>
    <row r="41">
      <c r="A41" s="11" t="inlineStr">
        <is>
          <t>Long term — incumbent mass replaced (tons)</t>
        </is>
      </c>
      <c r="B41" s="12">
        <f>SUMPRODUCT(B3:B21,I3:I21)</f>
        <v/>
      </c>
      <c r="C41" s="12">
        <f>SUMPRODUCT(C3:C21,I3:I21)</f>
        <v/>
      </c>
    </row>
    <row r="42">
      <c r="A42" s="11" t="inlineStr">
        <is>
          <t>Long term — SUPERWOOD required (tons)</t>
        </is>
      </c>
      <c r="B42" s="12">
        <f>SUM(S3:S21)</f>
        <v/>
      </c>
      <c r="C42" s="12">
        <f>SUM(W3:W21)</f>
        <v/>
      </c>
    </row>
    <row r="43">
      <c r="A43" s="11" t="inlineStr">
        <is>
          <t>Long term — years of SuperMill Two output</t>
        </is>
      </c>
      <c r="B43" s="13">
        <f>B42/Derived!B8</f>
        <v/>
      </c>
      <c r="C43" s="13">
        <f>C42/Derived!C8</f>
        <v/>
      </c>
    </row>
    <row r="45">
      <c r="A45" s="9" t="inlineStr">
        <is>
          <t>Cumulative incumbent mass replaced (tons)</t>
        </is>
      </c>
      <c r="B45" s="10">
        <f>SUM(J3:J21)</f>
        <v/>
      </c>
      <c r="C45" s="10">
        <f>SUM(K3:K21)</f>
        <v/>
      </c>
    </row>
    <row r="46">
      <c r="A46" s="9" t="inlineStr">
        <is>
          <t>Cumulative SUPERWOOD required (tons)</t>
        </is>
      </c>
      <c r="B46" s="10">
        <f>SUM(L3:L21)</f>
        <v/>
      </c>
      <c r="C46" s="10">
        <f>SUM(M3:M21)</f>
        <v/>
      </c>
    </row>
    <row r="47">
      <c r="A47" s="11" t="inlineStr">
        <is>
          <t>Cumulative years of SuperMill Two output</t>
        </is>
      </c>
      <c r="B47" s="13">
        <f>B46/Derived!B8</f>
        <v/>
      </c>
      <c r="C47" s="13">
        <f>C46/Derived!C8</f>
        <v/>
      </c>
    </row>
    <row r="48">
      <c r="A48" s="11" t="inlineStr">
        <is>
          <t>Share of total mass replaced</t>
        </is>
      </c>
      <c r="B48" s="14">
        <f>B45/B24</f>
        <v/>
      </c>
      <c r="C48" s="14">
        <f>C45/C24</f>
        <v/>
      </c>
    </row>
    <row r="49">
      <c r="A49" s="11" t="inlineStr">
        <is>
          <t>Share of ex-concrete mass replaced through the medium term (excludes foundations)</t>
        </is>
      </c>
      <c r="B49" s="14">
        <f>(B45-B41)/B25</f>
        <v/>
      </c>
      <c r="C49" s="14">
        <f>(C45-C41)/C25</f>
        <v/>
      </c>
    </row>
    <row r="50">
      <c r="A50" s="9" t="inlineStr">
        <is>
          <t>Not replaced by SUPERWOOD (tons)</t>
        </is>
      </c>
      <c r="B50" s="10">
        <f>B24-B45</f>
        <v/>
      </c>
      <c r="C50" s="10">
        <f>C24-C45</f>
        <v/>
      </c>
    </row>
    <row r="51">
      <c r="A51" s="11" t="inlineStr">
        <is>
          <t>Not replaced, share of total</t>
        </is>
      </c>
      <c r="B51" s="14">
        <f>B50/B24</f>
        <v/>
      </c>
      <c r="C51" s="14">
        <f>C50/C24</f>
        <v/>
      </c>
    </row>
    <row r="53">
      <c r="A53" s="3" t="inlineStr">
        <is>
          <t>EMBODIED CARBON — building materials (equipment not estimated)</t>
        </is>
      </c>
    </row>
    <row r="54">
      <c r="A54" s="9" t="inlineStr">
        <is>
          <t>Embodied carbon, building materials (t CO₂e)</t>
        </is>
      </c>
      <c r="B54" s="10">
        <f>SUM(Y3:Y21)</f>
        <v/>
      </c>
      <c r="C54" s="10">
        <f>SUM(Z3:Z21)</f>
        <v/>
      </c>
    </row>
    <row r="55">
      <c r="A55" s="11" t="inlineStr">
        <is>
          <t xml:space="preserve">  of which steel (t CO₂e)</t>
        </is>
      </c>
      <c r="B55" s="12">
        <f>SUMIF(AB3:AB21,"steel",Y3:Y21)</f>
        <v/>
      </c>
      <c r="C55" s="12">
        <f>SUMIF(AB3:AB21,"steel",Z3:Z21)</f>
        <v/>
      </c>
    </row>
    <row r="56">
      <c r="A56" s="11" t="inlineStr">
        <is>
          <t xml:space="preserve">  of which concrete (t CO₂e)</t>
        </is>
      </c>
      <c r="B56" s="12">
        <f>SUMIF(AB3:AB21,"concrete",Y3:Y21)</f>
        <v/>
      </c>
      <c r="C56" s="12">
        <f>SUMIF(AB3:AB21,"concrete",Z3:Z21)</f>
        <v/>
      </c>
    </row>
    <row r="57">
      <c r="A57" s="11" t="inlineStr">
        <is>
          <t>Steel share of building-materials carbon</t>
        </is>
      </c>
      <c r="B57" s="14">
        <f>B55/B54</f>
        <v/>
      </c>
      <c r="C57" s="14">
        <f>C55/C54</f>
        <v/>
      </c>
    </row>
    <row r="58">
      <c r="A58" s="11" t="inlineStr">
        <is>
          <t>Concrete share of building-materials carbon</t>
        </is>
      </c>
      <c r="B58" s="14">
        <f>B56/B54</f>
        <v/>
      </c>
      <c r="C58" s="14">
        <f>C56/C54</f>
        <v/>
      </c>
    </row>
    <row r="59">
      <c r="A59" s="11" t="inlineStr">
        <is>
          <t>Steel above the slab (steel excl. rebar), share of building-materials carbon</t>
        </is>
      </c>
      <c r="B59" s="14">
        <f>(B55-Y6)/B54</f>
        <v/>
      </c>
      <c r="C59" s="14">
        <f>(C55-Z6)/C54</f>
        <v/>
      </c>
    </row>
    <row r="60">
      <c r="A60" s="11" t="inlineStr">
        <is>
          <t>Steel share if steel is recycled (EAF factor, high end)</t>
        </is>
      </c>
      <c r="B60" s="14">
        <f>SUMPRODUCT(B3:B21,AA3:AA21,--(AB3:AB21="steel"))/SUMPRODUCT(B3:B21,AA3:AA21)</f>
        <v/>
      </c>
      <c r="C60" s="14">
        <f>SUMPRODUCT(C3:C21,AA3:AA21,--(AB3:AB21="steel"))/SUMPRODUCT(C3:C21,AA3:AA21)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Quantity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</row>
    <row r="2">
      <c r="A2" t="inlineStr">
        <is>
          <t>Number of buildings</t>
        </is>
      </c>
      <c r="B2" s="15">
        <f>Inputs!$B$3*Inputs!$B$2/Inputs!$B$4</f>
        <v/>
      </c>
      <c r="C2" s="15">
        <f>Inputs!$C$3*Inputs!$C$2/Inputs!$C$4</f>
        <v/>
      </c>
      <c r="D2" t="inlineStr">
        <is>
          <t>count</t>
        </is>
      </c>
    </row>
    <row r="3">
      <c r="A3" t="inlineStr">
        <is>
          <t>Exterior wall area, sf</t>
        </is>
      </c>
      <c r="B3" s="15">
        <f>B2*Inputs!$B$5</f>
        <v/>
      </c>
      <c r="C3" s="15">
        <f>C2*Inputs!$C$5</f>
        <v/>
      </c>
      <c r="D3" t="inlineStr">
        <is>
          <t>sf</t>
        </is>
      </c>
    </row>
    <row r="4">
      <c r="A4" t="inlineStr">
        <is>
          <t>Exterior wall area, m²</t>
        </is>
      </c>
      <c r="B4" s="15">
        <f>B3*0.092903</f>
        <v/>
      </c>
      <c r="C4" s="15">
        <f>C3*0.092903</f>
        <v/>
      </c>
      <c r="D4" t="inlineStr">
        <is>
          <t>m²</t>
        </is>
      </c>
    </row>
    <row r="5">
      <c r="A5" t="inlineStr">
        <is>
          <t>Fence face area, sf</t>
        </is>
      </c>
      <c r="B5" s="15">
        <f>Inputs!$B$7*1000*Inputs!$B$8/0.092903</f>
        <v/>
      </c>
      <c r="C5" s="15">
        <f>Inputs!$C$7*1000*Inputs!$C$8/0.092903</f>
        <v/>
      </c>
      <c r="D5" t="inlineStr">
        <is>
          <t>sf</t>
        </is>
      </c>
    </row>
    <row r="6">
      <c r="A6" t="inlineStr">
        <is>
          <t>SUPERWOOD board mass per sf</t>
        </is>
      </c>
      <c r="B6" s="15">
        <f>Inputs!$B$36/1000*Inputs!$B$37*0.092903</f>
        <v/>
      </c>
      <c r="C6" s="15">
        <f>Inputs!$C$36/1000*Inputs!$C$37*0.092903</f>
        <v/>
      </c>
      <c r="D6" t="inlineStr">
        <is>
          <t>kg/sf</t>
        </is>
      </c>
    </row>
    <row r="7">
      <c r="A7" t="inlineStr">
        <is>
          <t>SuperMill One output in tonnes</t>
        </is>
      </c>
      <c r="B7" s="15">
        <f>Inputs!$B$38*B6/1000</f>
        <v/>
      </c>
      <c r="C7" s="15">
        <f>Inputs!$C$38*C6/1000</f>
        <v/>
      </c>
      <c r="D7" t="inlineStr">
        <is>
          <t>t/yr</t>
        </is>
      </c>
    </row>
    <row r="8">
      <c r="A8" t="inlineStr">
        <is>
          <t>SuperMill Two output in tonnes</t>
        </is>
      </c>
      <c r="B8" s="15">
        <f>Inputs!$B$39*B6/1000</f>
        <v/>
      </c>
      <c r="C8" s="15">
        <f>Inputs!$C$39*C6/1000</f>
        <v/>
      </c>
      <c r="D8" t="inlineStr">
        <is>
          <t>t/yr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Horizon</t>
        </is>
      </c>
      <c r="B1" s="1" t="inlineStr">
        <is>
          <t>Low incumbent emissions avoided (t CO₂e)</t>
        </is>
      </c>
      <c r="C1" s="1" t="inlineStr">
        <is>
          <t>High</t>
        </is>
      </c>
      <c r="D1" s="1" t="inlineStr">
        <is>
          <t>Low SUPERWOOD manufacturing (t CO₂e)</t>
        </is>
      </c>
      <c r="E1" s="1" t="inlineStr">
        <is>
          <t>High</t>
        </is>
      </c>
      <c r="F1" s="1" t="inlineStr">
        <is>
          <t>Low net reduction</t>
        </is>
      </c>
      <c r="G1" s="1" t="inlineStr">
        <is>
          <t>High</t>
        </is>
      </c>
      <c r="H1" s="1" t="inlineStr">
        <is>
          <t>Low net vs EAF steel</t>
        </is>
      </c>
      <c r="I1" s="1" t="inlineStr">
        <is>
          <t>High</t>
        </is>
      </c>
      <c r="J1" s="1" t="inlineStr">
        <is>
          <t>Low biogenic stored (separate)</t>
        </is>
      </c>
      <c r="K1" s="1" t="inlineStr">
        <is>
          <t>High</t>
        </is>
      </c>
    </row>
    <row r="2">
      <c r="A2" t="inlineStr">
        <is>
          <t>Immediate (steel)</t>
        </is>
      </c>
      <c r="B2" s="4">
        <f>SUMPRODUCT('1 GW data center'!B3:B21,'1 GW data center'!F3:F21,'1 GW data center'!X3:X21)</f>
        <v/>
      </c>
      <c r="C2" s="4">
        <f>SUMPRODUCT('1 GW data center'!C3:C21,'1 GW data center'!F3:F21,'1 GW data center'!X3:X21)</f>
        <v/>
      </c>
      <c r="D2" s="4">
        <f>'1 GW data center'!B29*Inputs!$B$46</f>
        <v/>
      </c>
      <c r="E2" s="4">
        <f>'1 GW data center'!C29*Inputs!$C$46</f>
        <v/>
      </c>
      <c r="F2" s="4">
        <f>B2-D2</f>
        <v/>
      </c>
      <c r="G2" s="4">
        <f>C2-E2</f>
        <v/>
      </c>
      <c r="H2" s="4">
        <f>SUMPRODUCT('1 GW data center'!B3:B21,'1 GW data center'!F3:F21,'1 GW data center'!AA3:AA21)-D2</f>
        <v/>
      </c>
      <c r="I2" s="4">
        <f>SUMPRODUCT('1 GW data center'!C3:C21,'1 GW data center'!F3:F21,'1 GW data center'!AA3:AA21)-E2</f>
        <v/>
      </c>
      <c r="J2" s="4">
        <f>'1 GW data center'!B29*Inputs!$B$47</f>
        <v/>
      </c>
      <c r="K2" s="4">
        <f>'1 GW data center'!C29*Inputs!$C$47</f>
        <v/>
      </c>
    </row>
    <row r="3">
      <c r="A3" t="inlineStr">
        <is>
          <t>Soon (steel)</t>
        </is>
      </c>
      <c r="B3" s="4">
        <f>SUMPRODUCT('1 GW data center'!B3:B21,'1 GW data center'!G3:G21,'1 GW data center'!X3:X21)</f>
        <v/>
      </c>
      <c r="C3" s="4">
        <f>SUMPRODUCT('1 GW data center'!C3:C21,'1 GW data center'!G3:G21,'1 GW data center'!X3:X21)</f>
        <v/>
      </c>
      <c r="D3" s="4">
        <f>'1 GW data center'!B34*Inputs!$B$46</f>
        <v/>
      </c>
      <c r="E3" s="4">
        <f>'1 GW data center'!C34*Inputs!$C$46</f>
        <v/>
      </c>
      <c r="F3" s="4">
        <f>B3-D3</f>
        <v/>
      </c>
      <c r="G3" s="4">
        <f>C3-E3</f>
        <v/>
      </c>
      <c r="H3" s="4">
        <f>SUMPRODUCT('1 GW data center'!B3:B21,'1 GW data center'!G3:G21,'1 GW data center'!AA3:AA21)-D3</f>
        <v/>
      </c>
      <c r="I3" s="4">
        <f>SUMPRODUCT('1 GW data center'!C3:C21,'1 GW data center'!G3:G21,'1 GW data center'!AA3:AA21)-E3</f>
        <v/>
      </c>
      <c r="J3" s="4">
        <f>'1 GW data center'!B34*Inputs!$B$47</f>
        <v/>
      </c>
      <c r="K3" s="4">
        <f>'1 GW data center'!C34*Inputs!$C$47</f>
        <v/>
      </c>
    </row>
    <row r="4">
      <c r="A4" t="inlineStr">
        <is>
          <t>Medium term (steel)</t>
        </is>
      </c>
      <c r="B4" s="4">
        <f>SUMPRODUCT('1 GW data center'!B3:B21,'1 GW data center'!H3:H21,'1 GW data center'!X3:X21)</f>
        <v/>
      </c>
      <c r="C4" s="4">
        <f>SUMPRODUCT('1 GW data center'!C3:C21,'1 GW data center'!H3:H21,'1 GW data center'!X3:X21)</f>
        <v/>
      </c>
      <c r="D4" s="4">
        <f>'1 GW data center'!B38*Inputs!$B$46</f>
        <v/>
      </c>
      <c r="E4" s="4">
        <f>'1 GW data center'!C38*Inputs!$C$46</f>
        <v/>
      </c>
      <c r="F4" s="4">
        <f>B4-D4</f>
        <v/>
      </c>
      <c r="G4" s="4">
        <f>C4-E4</f>
        <v/>
      </c>
      <c r="H4" s="4">
        <f>SUMPRODUCT('1 GW data center'!B3:B21,'1 GW data center'!H3:H21,'1 GW data center'!AA3:AA21)-D4</f>
        <v/>
      </c>
      <c r="I4" s="4">
        <f>SUMPRODUCT('1 GW data center'!C3:C21,'1 GW data center'!H3:H21,'1 GW data center'!AA3:AA21)-E4</f>
        <v/>
      </c>
      <c r="J4" s="4">
        <f>'1 GW data center'!B38*Inputs!$B$47</f>
        <v/>
      </c>
      <c r="K4" s="4">
        <f>'1 GW data center'!C38*Inputs!$C$47</f>
        <v/>
      </c>
    </row>
    <row r="5">
      <c r="A5" t="inlineStr">
        <is>
          <t>Long term (concrete, rebar, server enclosures)</t>
        </is>
      </c>
      <c r="B5" s="4">
        <f>SUMPRODUCT('1 GW data center'!B3:B21,'1 GW data center'!I3:I21,'1 GW data center'!X3:X21)</f>
        <v/>
      </c>
      <c r="C5" s="4">
        <f>SUMPRODUCT('1 GW data center'!C3:C21,'1 GW data center'!I3:I21,'1 GW data center'!X3:X21)</f>
        <v/>
      </c>
      <c r="D5" s="4">
        <f>'1 GW data center'!B42*Inputs!$B$46</f>
        <v/>
      </c>
      <c r="E5" s="4">
        <f>'1 GW data center'!C42*Inputs!$C$46</f>
        <v/>
      </c>
      <c r="F5" s="4">
        <f>B5-D5</f>
        <v/>
      </c>
      <c r="G5" s="4">
        <f>C5-E5</f>
        <v/>
      </c>
      <c r="H5" s="4">
        <f>SUMPRODUCT('1 GW data center'!B3:B21,'1 GW data center'!I3:I21,'1 GW data center'!AA3:AA21)-D5</f>
        <v/>
      </c>
      <c r="I5" s="4">
        <f>SUMPRODUCT('1 GW data center'!C3:C21,'1 GW data center'!I3:I21,'1 GW data center'!AA3:AA21)-E5</f>
        <v/>
      </c>
      <c r="J5" s="4">
        <f>'1 GW data center'!B42*Inputs!$B$47</f>
        <v/>
      </c>
      <c r="K5" s="4">
        <f>'1 GW data center'!C42*Inputs!$C$47</f>
        <v/>
      </c>
    </row>
    <row r="7">
      <c r="A7" t="inlineStr">
        <is>
          <t>Pre-LCA projections (LCA under way with Prof. Ming Hu, University of Notre Dame). Each row is valued at its own factor (column X on the main sheet): concrete rows at co2_conc, steel rows including rebar at co2_steel, interior finishes at co2_mixed; equipment rows (including the long-term server enclosures) carry no factor, so the long-term row counts concrete and rebar only. The EAF column revalues steel rows at the recycled-steel factor (high end). Equipment rows carry no factor. Biogenic storage reported separately (EN 15804 module C).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64" customWidth="1" min="8" max="8"/>
  </cols>
  <sheetData>
    <row r="1">
      <c r="A1" s="1" t="inlineStr">
        <is>
          <t>Above-ground component (contents included)</t>
        </is>
      </c>
      <c r="B1" s="1" t="inlineStr">
        <is>
          <t>Low tons</t>
        </is>
      </c>
      <c r="C1" s="1" t="inlineStr">
        <is>
          <t>High tons</t>
        </is>
      </c>
      <c r="D1" s="1" t="inlineStr">
        <is>
          <t>Steel fraction — low</t>
        </is>
      </c>
      <c r="E1" s="1" t="inlineStr">
        <is>
          <t>Steel fraction — high</t>
        </is>
      </c>
      <c r="F1" s="1" t="inlineStr">
        <is>
          <t>Low steel tons</t>
        </is>
      </c>
      <c r="G1" s="1" t="inlineStr">
        <is>
          <t>High steel tons</t>
        </is>
      </c>
      <c r="H1" s="1" t="inlineStr">
        <is>
          <t>Basis for the fraction</t>
        </is>
      </c>
    </row>
    <row r="2">
      <c r="A2" t="inlineStr">
        <is>
          <t>Precast / tilt-up perimeter walls (precast case)</t>
        </is>
      </c>
      <c r="B2" s="5">
        <f>'1 GW data center'!B5</f>
        <v/>
      </c>
      <c r="C2" s="5">
        <f>'1 GW data center'!C5</f>
        <v/>
      </c>
      <c r="D2" s="6" t="n">
        <v>0.03</v>
      </c>
      <c r="E2" s="6" t="n">
        <v>0.05</v>
      </c>
      <c r="F2" s="5">
        <f>B2*D2</f>
        <v/>
      </c>
      <c r="G2" s="5">
        <f>C2*E2</f>
        <v/>
      </c>
      <c r="H2" t="inlineStr">
        <is>
          <t>rebar in precast/tilt-up panels; row is zero unless Inputs walls_precast = 1</t>
        </is>
      </c>
    </row>
    <row r="3">
      <c r="A3" t="inlineStr">
        <is>
          <t>Structural steel — primary frame (columns, girders)</t>
        </is>
      </c>
      <c r="B3" s="5">
        <f>'1 GW data center'!B7</f>
        <v/>
      </c>
      <c r="C3" s="5">
        <f>'1 GW data center'!C7</f>
        <v/>
      </c>
      <c r="D3" s="6" t="n">
        <v>1</v>
      </c>
      <c r="E3" s="6" t="n">
        <v>1</v>
      </c>
      <c r="F3" s="5">
        <f>B3*D3</f>
        <v/>
      </c>
      <c r="G3" s="5">
        <f>C3*E3</f>
        <v/>
      </c>
      <c r="H3" t="inlineStr">
        <is>
          <t>steel by definition</t>
        </is>
      </c>
    </row>
    <row r="4">
      <c r="A4" t="inlineStr">
        <is>
          <t>Structural steel — roof trusses, joists, roof deck, girts</t>
        </is>
      </c>
      <c r="B4" s="5">
        <f>'1 GW data center'!B8</f>
        <v/>
      </c>
      <c r="C4" s="5">
        <f>'1 GW data center'!C8</f>
        <v/>
      </c>
      <c r="D4" s="6" t="n">
        <v>1</v>
      </c>
      <c r="E4" s="6" t="n">
        <v>1</v>
      </c>
      <c r="F4" s="5">
        <f>B4*D4</f>
        <v/>
      </c>
      <c r="G4" s="5">
        <f>C4*E4</f>
        <v/>
      </c>
      <c r="H4" t="inlineStr">
        <is>
          <t>steel by definition</t>
        </is>
      </c>
    </row>
    <row r="5">
      <c r="A5" t="inlineStr">
        <is>
          <t>Exterior skins — metal panel / IMP (metal-panel case)</t>
        </is>
      </c>
      <c r="B5" s="5">
        <f>'1 GW data center'!B9</f>
        <v/>
      </c>
      <c r="C5" s="5">
        <f>'1 GW data center'!C9</f>
        <v/>
      </c>
      <c r="D5" s="6" t="n">
        <v>0.85</v>
      </c>
      <c r="E5" s="6" t="n">
        <v>0.95</v>
      </c>
      <c r="F5" s="5">
        <f>B5*D5</f>
        <v/>
      </c>
      <c r="G5" s="5">
        <f>C5*E5</f>
        <v/>
      </c>
      <c r="H5" t="inlineStr">
        <is>
          <t>steel-faced IMP; some aluminum</t>
        </is>
      </c>
    </row>
    <row r="6">
      <c r="A6" t="inlineStr">
        <is>
          <t>Louvers and yard / mechanical screens</t>
        </is>
      </c>
      <c r="B6" s="5">
        <f>'1 GW data center'!B10</f>
        <v/>
      </c>
      <c r="C6" s="5">
        <f>'1 GW data center'!C10</f>
        <v/>
      </c>
      <c r="D6" s="6" t="n">
        <v>0.4</v>
      </c>
      <c r="E6" s="6" t="n">
        <v>0.7</v>
      </c>
      <c r="F6" s="5">
        <f>B6*D6</f>
        <v/>
      </c>
      <c r="G6" s="5">
        <f>C6*E6</f>
        <v/>
      </c>
      <c r="H6" t="inlineStr">
        <is>
          <t>aluminum common</t>
        </is>
      </c>
    </row>
    <row r="7">
      <c r="A7" t="inlineStr">
        <is>
          <t>Security and staff-area fencing</t>
        </is>
      </c>
      <c r="B7" s="5">
        <f>'1 GW data center'!B11</f>
        <v/>
      </c>
      <c r="C7" s="5">
        <f>'1 GW data center'!C11</f>
        <v/>
      </c>
      <c r="D7" s="6" t="n">
        <v>0.9</v>
      </c>
      <c r="E7" s="6" t="n">
        <v>1</v>
      </c>
      <c r="F7" s="5">
        <f>B7*D7</f>
        <v/>
      </c>
      <c r="G7" s="5">
        <f>C7*E7</f>
        <v/>
      </c>
      <c r="H7" t="inlineStr">
        <is>
          <t>chain-link, palisade, posts</t>
        </is>
      </c>
    </row>
    <row r="8">
      <c r="A8" t="inlineStr">
        <is>
          <t>Platforms, walkways, mezzanines, railings, tray supports</t>
        </is>
      </c>
      <c r="B8" s="5">
        <f>'1 GW data center'!B13</f>
        <v/>
      </c>
      <c r="C8" s="5">
        <f>'1 GW data center'!C13</f>
        <v/>
      </c>
      <c r="D8" s="6" t="n">
        <v>0.95</v>
      </c>
      <c r="E8" s="6" t="n">
        <v>1</v>
      </c>
      <c r="F8" s="5">
        <f>B8*D8</f>
        <v/>
      </c>
      <c r="G8" s="5">
        <f>C8*E8</f>
        <v/>
      </c>
      <c r="H8" t="inlineStr">
        <is>
          <t>structural and misc. steel</t>
        </is>
      </c>
    </row>
    <row r="9">
      <c r="A9" t="inlineStr">
        <is>
          <t>Acoustic barriers, enclosures, HVAC separations</t>
        </is>
      </c>
      <c r="B9" s="5">
        <f>'1 GW data center'!B14</f>
        <v/>
      </c>
      <c r="C9" s="5">
        <f>'1 GW data center'!C14</f>
        <v/>
      </c>
      <c r="D9" s="6" t="n">
        <v>0.7</v>
      </c>
      <c r="E9" s="6" t="n">
        <v>0.9</v>
      </c>
      <c r="F9" s="5">
        <f>B9*D9</f>
        <v/>
      </c>
      <c r="G9" s="5">
        <f>C9*E9</f>
        <v/>
      </c>
      <c r="H9" t="inlineStr">
        <is>
          <t>steel panels with absorptive fill</t>
        </is>
      </c>
    </row>
    <row r="10">
      <c r="A10" t="inlineStr">
        <is>
          <t>Racking and equipment supports</t>
        </is>
      </c>
      <c r="B10" s="5">
        <f>'1 GW data center'!B15</f>
        <v/>
      </c>
      <c r="C10" s="5">
        <f>'1 GW data center'!C15</f>
        <v/>
      </c>
      <c r="D10" s="6" t="n">
        <v>0.95</v>
      </c>
      <c r="E10" s="6" t="n">
        <v>1</v>
      </c>
      <c r="F10" s="5">
        <f>B10*D10</f>
        <v/>
      </c>
      <c r="G10" s="5">
        <f>C10*E10</f>
        <v/>
      </c>
      <c r="H10" t="inlineStr">
        <is>
          <t>steel</t>
        </is>
      </c>
    </row>
    <row r="11">
      <c r="A11" t="inlineStr">
        <is>
          <t>Other tray, containment, doors, misc. metals</t>
        </is>
      </c>
      <c r="B11" s="5">
        <f>'1 GW data center'!B16</f>
        <v/>
      </c>
      <c r="C11" s="5">
        <f>'1 GW data center'!C16</f>
        <v/>
      </c>
      <c r="D11" s="6" t="n">
        <v>0.85</v>
      </c>
      <c r="E11" s="6" t="n">
        <v>0.95</v>
      </c>
      <c r="F11" s="5">
        <f>B11*D11</f>
        <v/>
      </c>
      <c r="G11" s="5">
        <f>C11*E11</f>
        <v/>
      </c>
      <c r="H11" t="inlineStr">
        <is>
          <t>mostly steel, some aluminum</t>
        </is>
      </c>
    </row>
    <row r="12">
      <c r="A12" t="inlineStr">
        <is>
          <t>Ducting, plenums and air-distribution sheet metal</t>
        </is>
      </c>
      <c r="B12" s="5">
        <f>'1 GW data center'!B17</f>
        <v/>
      </c>
      <c r="C12" s="5">
        <f>'1 GW data center'!C17</f>
        <v/>
      </c>
      <c r="D12" s="6" t="n">
        <v>0.95</v>
      </c>
      <c r="E12" s="6" t="n">
        <v>1</v>
      </c>
      <c r="F12" s="5">
        <f>B12*D12</f>
        <v/>
      </c>
      <c r="G12" s="5">
        <f>C12*E12</f>
        <v/>
      </c>
      <c r="H12" t="inlineStr">
        <is>
          <t>galvanized steel</t>
        </is>
      </c>
    </row>
    <row r="13">
      <c r="A13" t="inlineStr">
        <is>
          <t>Interior finishes, backplanes, trim (admin / office)</t>
        </is>
      </c>
      <c r="B13" s="5">
        <f>'1 GW data center'!B18</f>
        <v/>
      </c>
      <c r="C13" s="5">
        <f>'1 GW data center'!C18</f>
        <v/>
      </c>
      <c r="D13" s="6" t="n">
        <v>0.2</v>
      </c>
      <c r="E13" s="6" t="n">
        <v>0.4</v>
      </c>
      <c r="F13" s="5">
        <f>B13*D13</f>
        <v/>
      </c>
      <c r="G13" s="5">
        <f>C13*E13</f>
        <v/>
      </c>
      <c r="H13" t="inlineStr">
        <is>
          <t>gypsum, wood, steel studs</t>
        </is>
      </c>
    </row>
    <row r="14">
      <c r="A14" t="inlineStr">
        <is>
          <t>Electrical equipment and conductors</t>
        </is>
      </c>
      <c r="B14" s="5">
        <f>'1 GW data center'!B19</f>
        <v/>
      </c>
      <c r="C14" s="5">
        <f>'1 GW data center'!C19</f>
        <v/>
      </c>
      <c r="D14" s="6" t="n">
        <v>0.5</v>
      </c>
      <c r="E14" s="6" t="n">
        <v>0.65</v>
      </c>
      <c r="F14" s="5">
        <f>B14*D14</f>
        <v/>
      </c>
      <c r="G14" s="5">
        <f>C14*E14</f>
        <v/>
      </c>
      <c r="H14" t="inlineStr">
        <is>
          <t>enclosures, cores, gensets, switchgear; rest copper, oil, batteries</t>
        </is>
      </c>
    </row>
    <row r="15">
      <c r="A15" t="inlineStr">
        <is>
          <t>Mechanical equipment, piping, loop water</t>
        </is>
      </c>
      <c r="B15" s="5">
        <f>'1 GW data center'!B20</f>
        <v/>
      </c>
      <c r="C15" s="5">
        <f>'1 GW data center'!C20</f>
        <v/>
      </c>
      <c r="D15" s="6" t="n">
        <v>0.45</v>
      </c>
      <c r="E15" s="6" t="n">
        <v>0.65</v>
      </c>
      <c r="F15" s="5">
        <f>B15*D15</f>
        <v/>
      </c>
      <c r="G15" s="5">
        <f>C15*E15</f>
        <v/>
      </c>
      <c r="H15" t="inlineStr">
        <is>
          <t>chillers, piping steel; water, copper, refrigerant not</t>
        </is>
      </c>
    </row>
    <row r="16">
      <c r="A16" t="inlineStr">
        <is>
          <t>IT — servers and racks</t>
        </is>
      </c>
      <c r="B16" s="5">
        <f>'1 GW data center'!B21</f>
        <v/>
      </c>
      <c r="C16" s="5">
        <f>'1 GW data center'!C21</f>
        <v/>
      </c>
      <c r="D16" s="6" t="n">
        <v>0.4</v>
      </c>
      <c r="E16" s="6" t="n">
        <v>0.6</v>
      </c>
      <c r="F16" s="5">
        <f>B16*D16</f>
        <v/>
      </c>
      <c r="G16" s="5">
        <f>C16*E16</f>
        <v/>
      </c>
      <c r="H16" t="inlineStr">
        <is>
          <t>steel chassis and racks; aluminum, PCBs, copper</t>
        </is>
      </c>
    </row>
    <row r="18">
      <c r="A18" s="9" t="inlineStr">
        <is>
          <t>Above-ground mass, contents included (tons)</t>
        </is>
      </c>
      <c r="B18" s="4">
        <f>SUM(B2:B16)</f>
        <v/>
      </c>
      <c r="C18" s="4">
        <f>SUM(C2:C16)</f>
        <v/>
      </c>
      <c r="F18" s="4" t="n"/>
      <c r="G18" s="4" t="n"/>
    </row>
    <row r="19">
      <c r="A19" s="9" t="inlineStr">
        <is>
          <t>Steel in it (tons)</t>
        </is>
      </c>
      <c r="B19" s="4">
        <f>SUM(F2:F16)</f>
        <v/>
      </c>
      <c r="C19" s="4">
        <f>SUM(G2:G16)</f>
        <v/>
      </c>
      <c r="F19" s="4" t="n"/>
      <c r="G19" s="4" t="n"/>
    </row>
    <row r="20">
      <c r="A20" s="9" t="inlineStr">
        <is>
          <t>Steel share of above-ground mass</t>
        </is>
      </c>
      <c r="B20" s="16">
        <f>B19/B18</f>
        <v/>
      </c>
      <c r="C20" s="16">
        <f>C19/C18</f>
        <v/>
      </c>
    </row>
    <row r="21">
      <c r="A21" s="9" t="inlineStr">
        <is>
          <t>Steel share including slab rebar (at-grade steel)</t>
        </is>
      </c>
      <c r="B21" s="16">
        <f>(B19+'1 GW data center'!B6)/(B18+'1 GW data center'!B6)</f>
        <v/>
      </c>
      <c r="C21" s="16">
        <f>(C19+'1 GW data center'!C6)/(C18+'1 GW data center'!C6)</f>
        <v/>
      </c>
    </row>
    <row r="22">
      <c r="A22" s="9" t="inlineStr">
        <is>
          <t>Structure and envelope only (first five rows)</t>
        </is>
      </c>
      <c r="B22" s="16">
        <f>SUM(F2:F7)/SUM(B2:B7)</f>
        <v/>
      </c>
      <c r="C22" s="16">
        <f>SUM(G2:G7)/SUM(C2:C7)</f>
        <v/>
      </c>
    </row>
    <row r="24">
      <c r="A24" s="3" t="inlineStr">
        <is>
          <t>WALL SYSTEM CASES (independent of the Inputs toggle)</t>
        </is>
      </c>
    </row>
    <row r="25">
      <c r="A25" t="inlineStr">
        <is>
          <t>Tilt-up / precast wall mass if chosen (tons)</t>
        </is>
      </c>
      <c r="B25" s="17">
        <f>Derived!B4*Inputs!$B$14*Inputs!$B$12</f>
        <v/>
      </c>
      <c r="C25" s="17">
        <f>Derived!C4*Inputs!$C$14*Inputs!$C$12</f>
        <v/>
      </c>
    </row>
    <row r="26">
      <c r="A26" t="inlineStr">
        <is>
          <t>Metal-panel skin mass if chosen (tons)</t>
        </is>
      </c>
      <c r="B26" s="17">
        <f>Derived!B4*Inputs!$B$19/1000</f>
        <v/>
      </c>
      <c r="C26" s="17">
        <f>Derived!C4*Inputs!$C$19/1000</f>
        <v/>
      </c>
    </row>
    <row r="27">
      <c r="A27" s="9" t="inlineStr">
        <is>
          <t>Steel share — metal-panel walls</t>
        </is>
      </c>
      <c r="B27" s="16">
        <f>(B19-F2-F5+B26*D5)/(B18-B2-B5+B26)</f>
        <v/>
      </c>
      <c r="C27" s="16">
        <f>(C19-F2-F5+C26*E5)/(C18-C2-C5+C26)</f>
        <v/>
      </c>
    </row>
    <row r="28">
      <c r="A28" s="9" t="inlineStr">
        <is>
          <t>Steel share — tilt-up / precast concrete walls</t>
        </is>
      </c>
      <c r="B28" s="16">
        <f>(B19-F2-F5+B25*D2)/(B18-B2-B5+B25)</f>
        <v/>
      </c>
      <c r="C28" s="16">
        <f>(C19-G2-G5+C25*E2)/(C18-C2-C5+C25)</f>
        <v/>
      </c>
    </row>
    <row r="30">
      <c r="A30" t="inlineStr">
        <is>
          <t>Excludes slab on grade, paving and foundations. The wall system matters: the main block follows Inputs walls_precast (0 = metal panel, 1 = tilt-up/precast); the two case rows above force each wall system regardless of the toggle. Steel fractions per component are estimates [conf: L] (yellow cells). Printed band on the deck: 50–80% (Alex, 2026-09-04), covering both wall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2026-09-05T21:45:01Z</dcterms:created>
  <dcterms:modified xmlns:dcterms="http://purl.org/dc/terms/" xmlns:xsi="http://www.w3.org/2001/XMLSchema-instance" xsi:type="dcterms:W3CDTF">2026-09-05T21:45:01Z</dcterms:modified>
</cp:coreProperties>
</file>